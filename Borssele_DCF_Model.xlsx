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cascornelissen/Documents/Borssele 1&amp;2/"/>
    </mc:Choice>
  </mc:AlternateContent>
  <xr:revisionPtr revIDLastSave="0" documentId="13_ncr:1_{F0D8586B-C90B-B742-AE9D-4980861EFE69}" xr6:coauthVersionLast="47" xr6:coauthVersionMax="47" xr10:uidLastSave="{00000000-0000-0000-0000-000000000000}"/>
  <bookViews>
    <workbookView xWindow="0" yWindow="660" windowWidth="29400" windowHeight="18460" tabRatio="500" activeTab="5" xr2:uid="{00000000-000D-0000-FFFF-FFFF00000000}"/>
  </bookViews>
  <sheets>
    <sheet name="Read Me" sheetId="1" r:id="rId1"/>
    <sheet name="Assumptions" sheetId="2" r:id="rId2"/>
    <sheet name="Price Data" sheetId="3" r:id="rId3"/>
    <sheet name="Model (ex-ante)" sheetId="4" r:id="rId4"/>
    <sheet name="Ex-Post" sheetId="5" r:id="rId5"/>
    <sheet name="Dashboard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6" l="1"/>
  <c r="AB29" i="5"/>
  <c r="R29" i="5"/>
  <c r="H29" i="5"/>
  <c r="AB18" i="5"/>
  <c r="AA18" i="5"/>
  <c r="Z18" i="5"/>
  <c r="Y18" i="5"/>
  <c r="X18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Z13" i="5"/>
  <c r="U12" i="5"/>
  <c r="U14" i="5" s="1"/>
  <c r="K12" i="5"/>
  <c r="AB9" i="5"/>
  <c r="AA9" i="5"/>
  <c r="Z9" i="5"/>
  <c r="Y9" i="5"/>
  <c r="X9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AB6" i="5"/>
  <c r="AB13" i="5" s="1"/>
  <c r="AA6" i="5"/>
  <c r="AA13" i="5" s="1"/>
  <c r="Z6" i="5"/>
  <c r="Y6" i="5"/>
  <c r="Y13" i="5" s="1"/>
  <c r="X6" i="5"/>
  <c r="X13" i="5" s="1"/>
  <c r="W6" i="5"/>
  <c r="W13" i="5" s="1"/>
  <c r="V6" i="5"/>
  <c r="V13" i="5" s="1"/>
  <c r="U6" i="5"/>
  <c r="U13" i="5" s="1"/>
  <c r="T6" i="5"/>
  <c r="T13" i="5" s="1"/>
  <c r="S6" i="5"/>
  <c r="S13" i="5" s="1"/>
  <c r="R6" i="5"/>
  <c r="R13" i="5" s="1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AB4" i="5"/>
  <c r="AB12" i="5" s="1"/>
  <c r="AA4" i="5"/>
  <c r="AA12" i="5" s="1"/>
  <c r="AA14" i="5" s="1"/>
  <c r="Z4" i="5"/>
  <c r="Z12" i="5" s="1"/>
  <c r="Z14" i="5" s="1"/>
  <c r="Y4" i="5"/>
  <c r="Y12" i="5" s="1"/>
  <c r="Y14" i="5" s="1"/>
  <c r="X4" i="5"/>
  <c r="X12" i="5" s="1"/>
  <c r="X14" i="5" s="1"/>
  <c r="W4" i="5"/>
  <c r="W12" i="5" s="1"/>
  <c r="W14" i="5" s="1"/>
  <c r="V4" i="5"/>
  <c r="V12" i="5" s="1"/>
  <c r="V14" i="5" s="1"/>
  <c r="U4" i="5"/>
  <c r="T4" i="5"/>
  <c r="T12" i="5" s="1"/>
  <c r="T14" i="5" s="1"/>
  <c r="S4" i="5"/>
  <c r="S12" i="5" s="1"/>
  <c r="S14" i="5" s="1"/>
  <c r="R4" i="5"/>
  <c r="R12" i="5" s="1"/>
  <c r="Q4" i="5"/>
  <c r="Q12" i="5" s="1"/>
  <c r="P4" i="5"/>
  <c r="P12" i="5" s="1"/>
  <c r="P13" i="5" s="1"/>
  <c r="O4" i="5"/>
  <c r="O12" i="5" s="1"/>
  <c r="N4" i="5"/>
  <c r="N12" i="5" s="1"/>
  <c r="M4" i="5"/>
  <c r="M12" i="5" s="1"/>
  <c r="L4" i="5"/>
  <c r="L12" i="5" s="1"/>
  <c r="K4" i="5"/>
  <c r="J4" i="5"/>
  <c r="J12" i="5" s="1"/>
  <c r="I4" i="5"/>
  <c r="H4" i="5"/>
  <c r="G4" i="5"/>
  <c r="G12" i="5" s="1"/>
  <c r="F4" i="5"/>
  <c r="F12" i="5" s="1"/>
  <c r="F13" i="5" s="1"/>
  <c r="E4" i="5"/>
  <c r="E12" i="5" s="1"/>
  <c r="D4" i="5"/>
  <c r="D12" i="5" s="1"/>
  <c r="C4" i="5"/>
  <c r="AB29" i="4"/>
  <c r="S29" i="4"/>
  <c r="R29" i="4"/>
  <c r="I29" i="4"/>
  <c r="H29" i="4"/>
  <c r="U22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U14" i="4"/>
  <c r="P13" i="4"/>
  <c r="F13" i="4"/>
  <c r="AB12" i="4"/>
  <c r="AB14" i="4" s="1"/>
  <c r="AA12" i="4"/>
  <c r="Z12" i="4"/>
  <c r="Y12" i="4"/>
  <c r="X12" i="4"/>
  <c r="W12" i="4"/>
  <c r="V12" i="4"/>
  <c r="U12" i="4"/>
  <c r="T12" i="4"/>
  <c r="S12" i="4"/>
  <c r="S14" i="4" s="1"/>
  <c r="R12" i="4"/>
  <c r="R14" i="4" s="1"/>
  <c r="Q12" i="4"/>
  <c r="P12" i="4"/>
  <c r="P14" i="4" s="1"/>
  <c r="O12" i="4"/>
  <c r="N12" i="4"/>
  <c r="M12" i="4"/>
  <c r="L12" i="4"/>
  <c r="K12" i="4"/>
  <c r="J12" i="4"/>
  <c r="I12" i="4"/>
  <c r="I14" i="4" s="1"/>
  <c r="H12" i="4"/>
  <c r="H14" i="4" s="1"/>
  <c r="G12" i="4"/>
  <c r="F12" i="4"/>
  <c r="F14" i="4" s="1"/>
  <c r="E12" i="4"/>
  <c r="D12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AB6" i="4"/>
  <c r="AB13" i="4" s="1"/>
  <c r="AA6" i="4"/>
  <c r="AA13" i="4" s="1"/>
  <c r="Z6" i="4"/>
  <c r="Z13" i="4" s="1"/>
  <c r="Y6" i="4"/>
  <c r="Y13" i="4" s="1"/>
  <c r="X6" i="4"/>
  <c r="X13" i="4" s="1"/>
  <c r="W6" i="4"/>
  <c r="W13" i="4" s="1"/>
  <c r="V6" i="4"/>
  <c r="V13" i="4" s="1"/>
  <c r="V14" i="4" s="1"/>
  <c r="U6" i="4"/>
  <c r="U13" i="4" s="1"/>
  <c r="T6" i="4"/>
  <c r="T13" i="4" s="1"/>
  <c r="S6" i="4"/>
  <c r="S13" i="4" s="1"/>
  <c r="R6" i="4"/>
  <c r="R13" i="4" s="1"/>
  <c r="Q6" i="4"/>
  <c r="Q13" i="4" s="1"/>
  <c r="P6" i="4"/>
  <c r="O6" i="4"/>
  <c r="O13" i="4" s="1"/>
  <c r="N6" i="4"/>
  <c r="N13" i="4" s="1"/>
  <c r="M6" i="4"/>
  <c r="M13" i="4" s="1"/>
  <c r="L6" i="4"/>
  <c r="L13" i="4" s="1"/>
  <c r="L14" i="4" s="1"/>
  <c r="K6" i="4"/>
  <c r="K13" i="4" s="1"/>
  <c r="K14" i="4" s="1"/>
  <c r="J6" i="4"/>
  <c r="J13" i="4" s="1"/>
  <c r="I6" i="4"/>
  <c r="I13" i="4" s="1"/>
  <c r="H6" i="4"/>
  <c r="H13" i="4" s="1"/>
  <c r="G6" i="4"/>
  <c r="G13" i="4" s="1"/>
  <c r="F6" i="4"/>
  <c r="E6" i="4"/>
  <c r="E13" i="4" s="1"/>
  <c r="D6" i="4"/>
  <c r="D13" i="4" s="1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F16" i="3"/>
  <c r="F15" i="3"/>
  <c r="F14" i="3"/>
  <c r="F13" i="3"/>
  <c r="F12" i="3"/>
  <c r="F11" i="3"/>
  <c r="F10" i="3"/>
  <c r="F9" i="3"/>
  <c r="F8" i="3"/>
  <c r="F7" i="3"/>
  <c r="F6" i="3"/>
  <c r="F5" i="3"/>
  <c r="B33" i="2"/>
  <c r="U29" i="5" s="1"/>
  <c r="B16" i="2"/>
  <c r="AB27" i="5" s="1"/>
  <c r="B13" i="2"/>
  <c r="K22" i="5" s="1"/>
  <c r="B8" i="2"/>
  <c r="B9" i="2" s="1"/>
  <c r="F10" i="4" s="1"/>
  <c r="F17" i="4" l="1"/>
  <c r="F19" i="4" s="1"/>
  <c r="F15" i="4"/>
  <c r="F21" i="4" s="1"/>
  <c r="AA10" i="4"/>
  <c r="M14" i="4"/>
  <c r="W14" i="4"/>
  <c r="Z10" i="5"/>
  <c r="Q10" i="4"/>
  <c r="D14" i="4"/>
  <c r="N14" i="4"/>
  <c r="X14" i="4"/>
  <c r="K22" i="4"/>
  <c r="G13" i="5"/>
  <c r="G14" i="5" s="1"/>
  <c r="Q13" i="5"/>
  <c r="Q14" i="5" s="1"/>
  <c r="E14" i="4"/>
  <c r="O14" i="4"/>
  <c r="Y14" i="4"/>
  <c r="L22" i="4"/>
  <c r="H13" i="5"/>
  <c r="X22" i="5"/>
  <c r="N22" i="5"/>
  <c r="D22" i="5"/>
  <c r="Y22" i="4"/>
  <c r="O22" i="4"/>
  <c r="E22" i="4"/>
  <c r="W22" i="5"/>
  <c r="M22" i="5"/>
  <c r="X22" i="4"/>
  <c r="N22" i="4"/>
  <c r="D22" i="4"/>
  <c r="V22" i="5"/>
  <c r="L22" i="5"/>
  <c r="W22" i="4"/>
  <c r="M22" i="4"/>
  <c r="T22" i="5"/>
  <c r="J22" i="5"/>
  <c r="C26" i="5"/>
  <c r="S22" i="5"/>
  <c r="I22" i="5"/>
  <c r="T22" i="4"/>
  <c r="J22" i="4"/>
  <c r="AB22" i="5"/>
  <c r="R22" i="5"/>
  <c r="H22" i="5"/>
  <c r="C26" i="4"/>
  <c r="S22" i="4"/>
  <c r="I22" i="4"/>
  <c r="AA22" i="5"/>
  <c r="Q22" i="5"/>
  <c r="G22" i="5"/>
  <c r="AB22" i="4"/>
  <c r="R22" i="4"/>
  <c r="H22" i="4"/>
  <c r="Z22" i="5"/>
  <c r="P22" i="5"/>
  <c r="F22" i="5"/>
  <c r="AA22" i="4"/>
  <c r="Q22" i="4"/>
  <c r="G22" i="4"/>
  <c r="Y22" i="5"/>
  <c r="O22" i="5"/>
  <c r="E22" i="5"/>
  <c r="Z22" i="4"/>
  <c r="P22" i="4"/>
  <c r="F22" i="4"/>
  <c r="G14" i="4"/>
  <c r="Q14" i="4"/>
  <c r="AA14" i="4"/>
  <c r="V22" i="4"/>
  <c r="E14" i="5"/>
  <c r="O14" i="5"/>
  <c r="J13" i="5"/>
  <c r="J14" i="5" s="1"/>
  <c r="U22" i="5"/>
  <c r="F14" i="5"/>
  <c r="P14" i="5"/>
  <c r="K13" i="5"/>
  <c r="K14" i="5" s="1"/>
  <c r="S10" i="5"/>
  <c r="I10" i="5"/>
  <c r="T10" i="4"/>
  <c r="J10" i="4"/>
  <c r="AB10" i="5"/>
  <c r="R10" i="5"/>
  <c r="H10" i="5"/>
  <c r="S10" i="4"/>
  <c r="I10" i="4"/>
  <c r="AA10" i="5"/>
  <c r="Q10" i="5"/>
  <c r="G10" i="5"/>
  <c r="AB10" i="4"/>
  <c r="R10" i="4"/>
  <c r="H10" i="4"/>
  <c r="Y10" i="5"/>
  <c r="O10" i="5"/>
  <c r="E10" i="5"/>
  <c r="X10" i="5"/>
  <c r="N10" i="5"/>
  <c r="D10" i="5"/>
  <c r="Y10" i="4"/>
  <c r="O10" i="4"/>
  <c r="E10" i="4"/>
  <c r="W10" i="5"/>
  <c r="M10" i="5"/>
  <c r="X10" i="4"/>
  <c r="N10" i="4"/>
  <c r="D10" i="4"/>
  <c r="V10" i="5"/>
  <c r="L10" i="5"/>
  <c r="W10" i="4"/>
  <c r="M10" i="4"/>
  <c r="U10" i="5"/>
  <c r="K10" i="5"/>
  <c r="V10" i="4"/>
  <c r="L10" i="4"/>
  <c r="T10" i="5"/>
  <c r="J10" i="5"/>
  <c r="U10" i="4"/>
  <c r="K10" i="4"/>
  <c r="Z14" i="4"/>
  <c r="G10" i="4"/>
  <c r="L13" i="5"/>
  <c r="L14" i="5" s="1"/>
  <c r="P10" i="4"/>
  <c r="J14" i="4"/>
  <c r="T14" i="4"/>
  <c r="H12" i="5"/>
  <c r="R14" i="5"/>
  <c r="AB14" i="5"/>
  <c r="M13" i="5"/>
  <c r="M14" i="5" s="1"/>
  <c r="I12" i="5"/>
  <c r="D13" i="5"/>
  <c r="D14" i="5" s="1"/>
  <c r="N13" i="5"/>
  <c r="F10" i="5"/>
  <c r="N14" i="5"/>
  <c r="Z10" i="4"/>
  <c r="E13" i="5"/>
  <c r="O13" i="5"/>
  <c r="P10" i="5"/>
  <c r="M29" i="4"/>
  <c r="W29" i="4"/>
  <c r="L29" i="5"/>
  <c r="V29" i="5"/>
  <c r="D29" i="4"/>
  <c r="N29" i="4"/>
  <c r="X29" i="4"/>
  <c r="M29" i="5"/>
  <c r="W29" i="5"/>
  <c r="E29" i="4"/>
  <c r="O29" i="4"/>
  <c r="Y29" i="4"/>
  <c r="D29" i="5"/>
  <c r="N29" i="5"/>
  <c r="X29" i="5"/>
  <c r="F29" i="4"/>
  <c r="F32" i="4" s="1"/>
  <c r="P29" i="4"/>
  <c r="Z29" i="4"/>
  <c r="E29" i="5"/>
  <c r="O29" i="5"/>
  <c r="Y29" i="5"/>
  <c r="AB27" i="4"/>
  <c r="G29" i="4"/>
  <c r="Q29" i="4"/>
  <c r="AA29" i="4"/>
  <c r="F29" i="5"/>
  <c r="P29" i="5"/>
  <c r="Z29" i="5"/>
  <c r="G29" i="5"/>
  <c r="Q29" i="5"/>
  <c r="AA29" i="5"/>
  <c r="J29" i="4"/>
  <c r="T29" i="4"/>
  <c r="I29" i="5"/>
  <c r="S29" i="5"/>
  <c r="K29" i="4"/>
  <c r="U29" i="4"/>
  <c r="J29" i="5"/>
  <c r="T29" i="5"/>
  <c r="B13" i="6"/>
  <c r="L29" i="4"/>
  <c r="V29" i="4"/>
  <c r="K29" i="5"/>
  <c r="E15" i="5" l="1"/>
  <c r="E32" i="5"/>
  <c r="E17" i="5"/>
  <c r="E19" i="5" s="1"/>
  <c r="S15" i="4"/>
  <c r="S32" i="4"/>
  <c r="S17" i="4"/>
  <c r="S19" i="4" s="1"/>
  <c r="Z32" i="5"/>
  <c r="Z17" i="5"/>
  <c r="Z19" i="5" s="1"/>
  <c r="Z15" i="5"/>
  <c r="F32" i="5"/>
  <c r="F17" i="5"/>
  <c r="F19" i="5" s="1"/>
  <c r="F15" i="5"/>
  <c r="F21" i="5" s="1"/>
  <c r="X32" i="4"/>
  <c r="X17" i="4"/>
  <c r="X19" i="4" s="1"/>
  <c r="X15" i="4"/>
  <c r="O15" i="5"/>
  <c r="O32" i="5"/>
  <c r="O17" i="5"/>
  <c r="O19" i="5" s="1"/>
  <c r="H15" i="5"/>
  <c r="H21" i="5" s="1"/>
  <c r="H32" i="5"/>
  <c r="H17" i="5"/>
  <c r="H19" i="5" s="1"/>
  <c r="T32" i="5"/>
  <c r="T17" i="5"/>
  <c r="T19" i="5" s="1"/>
  <c r="T15" i="5"/>
  <c r="T21" i="5" s="1"/>
  <c r="L15" i="4"/>
  <c r="L32" i="4"/>
  <c r="L17" i="4"/>
  <c r="L19" i="4" s="1"/>
  <c r="V15" i="4"/>
  <c r="V17" i="4"/>
  <c r="V19" i="4" s="1"/>
  <c r="V32" i="4"/>
  <c r="M32" i="5"/>
  <c r="M17" i="5"/>
  <c r="M19" i="5" s="1"/>
  <c r="M15" i="5"/>
  <c r="M21" i="5" s="1"/>
  <c r="Y15" i="5"/>
  <c r="Y32" i="5"/>
  <c r="Y17" i="5"/>
  <c r="Y19" i="5" s="1"/>
  <c r="R15" i="5"/>
  <c r="R32" i="5"/>
  <c r="R17" i="5"/>
  <c r="R19" i="5" s="1"/>
  <c r="AA32" i="4"/>
  <c r="AA17" i="4"/>
  <c r="AA19" i="4" s="1"/>
  <c r="AA15" i="4"/>
  <c r="AA21" i="4" s="1"/>
  <c r="N32" i="4"/>
  <c r="N17" i="4"/>
  <c r="N19" i="4" s="1"/>
  <c r="N15" i="4"/>
  <c r="P32" i="4"/>
  <c r="P17" i="4"/>
  <c r="P19" i="4" s="1"/>
  <c r="P15" i="4"/>
  <c r="K15" i="5"/>
  <c r="K21" i="5" s="1"/>
  <c r="K32" i="5"/>
  <c r="K17" i="5"/>
  <c r="K19" i="5" s="1"/>
  <c r="W32" i="5"/>
  <c r="W17" i="5"/>
  <c r="W19" i="5" s="1"/>
  <c r="W15" i="5"/>
  <c r="AB15" i="5"/>
  <c r="AB32" i="5"/>
  <c r="AB17" i="5"/>
  <c r="AB19" i="5" s="1"/>
  <c r="I14" i="5"/>
  <c r="U15" i="5"/>
  <c r="U21" i="5" s="1"/>
  <c r="U32" i="5"/>
  <c r="U17" i="5"/>
  <c r="U19" i="5" s="1"/>
  <c r="E32" i="4"/>
  <c r="E17" i="4"/>
  <c r="E19" i="4" s="1"/>
  <c r="E15" i="4"/>
  <c r="E21" i="4" s="1"/>
  <c r="R15" i="4"/>
  <c r="R32" i="4"/>
  <c r="R17" i="4"/>
  <c r="R19" i="4" s="1"/>
  <c r="J15" i="4"/>
  <c r="J21" i="4" s="1"/>
  <c r="J32" i="4"/>
  <c r="J17" i="4"/>
  <c r="J19" i="4" s="1"/>
  <c r="O32" i="4"/>
  <c r="O17" i="4"/>
  <c r="O19" i="4" s="1"/>
  <c r="O15" i="4"/>
  <c r="O21" i="4" s="1"/>
  <c r="H15" i="4"/>
  <c r="H32" i="4"/>
  <c r="H17" i="4"/>
  <c r="H19" i="4" s="1"/>
  <c r="G32" i="4"/>
  <c r="G17" i="4"/>
  <c r="G19" i="4" s="1"/>
  <c r="G15" i="4"/>
  <c r="G21" i="4" s="1"/>
  <c r="I13" i="5"/>
  <c r="P32" i="5"/>
  <c r="P17" i="5"/>
  <c r="P19" i="5" s="1"/>
  <c r="P15" i="5"/>
  <c r="P21" i="5" s="1"/>
  <c r="Y32" i="4"/>
  <c r="Y17" i="4"/>
  <c r="Y19" i="4" s="1"/>
  <c r="Y15" i="4"/>
  <c r="Y21" i="4" s="1"/>
  <c r="I15" i="5"/>
  <c r="I32" i="5"/>
  <c r="I17" i="5"/>
  <c r="I19" i="5" s="1"/>
  <c r="K15" i="4"/>
  <c r="K21" i="4" s="1"/>
  <c r="K32" i="4"/>
  <c r="K17" i="4"/>
  <c r="K19" i="4" s="1"/>
  <c r="L32" i="5"/>
  <c r="L17" i="5"/>
  <c r="L19" i="5" s="1"/>
  <c r="L15" i="5"/>
  <c r="D32" i="5"/>
  <c r="D17" i="5"/>
  <c r="D19" i="5" s="1"/>
  <c r="B40" i="5" s="1"/>
  <c r="C8" i="6" s="1"/>
  <c r="D15" i="5"/>
  <c r="Q15" i="5"/>
  <c r="Q21" i="5" s="1"/>
  <c r="Q32" i="5"/>
  <c r="Q17" i="5"/>
  <c r="Q19" i="5" s="1"/>
  <c r="S15" i="5"/>
  <c r="S32" i="5"/>
  <c r="S17" i="5"/>
  <c r="S19" i="5" s="1"/>
  <c r="C28" i="5"/>
  <c r="AB15" i="4"/>
  <c r="AB32" i="4"/>
  <c r="AB17" i="4"/>
  <c r="AB19" i="4" s="1"/>
  <c r="G15" i="5"/>
  <c r="G21" i="5" s="1"/>
  <c r="G32" i="5"/>
  <c r="G17" i="5"/>
  <c r="G19" i="5" s="1"/>
  <c r="H14" i="5"/>
  <c r="U15" i="4"/>
  <c r="U32" i="4"/>
  <c r="U17" i="4"/>
  <c r="U19" i="4" s="1"/>
  <c r="V32" i="5"/>
  <c r="V17" i="5"/>
  <c r="V19" i="5" s="1"/>
  <c r="V15" i="5"/>
  <c r="V21" i="5" s="1"/>
  <c r="N32" i="5"/>
  <c r="N17" i="5"/>
  <c r="N19" i="5" s="1"/>
  <c r="N15" i="5"/>
  <c r="N21" i="5" s="1"/>
  <c r="AA15" i="5"/>
  <c r="AA32" i="5"/>
  <c r="AA17" i="5"/>
  <c r="AA19" i="5" s="1"/>
  <c r="M32" i="4"/>
  <c r="M17" i="4"/>
  <c r="M19" i="4" s="1"/>
  <c r="M15" i="4"/>
  <c r="T15" i="4"/>
  <c r="T21" i="4" s="1"/>
  <c r="T32" i="4"/>
  <c r="T17" i="4"/>
  <c r="T19" i="4" s="1"/>
  <c r="W32" i="4"/>
  <c r="W17" i="4"/>
  <c r="W19" i="4" s="1"/>
  <c r="W15" i="4"/>
  <c r="W21" i="4" s="1"/>
  <c r="F23" i="4"/>
  <c r="F24" i="4" s="1"/>
  <c r="F28" i="4" s="1"/>
  <c r="F30" i="4" s="1"/>
  <c r="Z32" i="4"/>
  <c r="Z17" i="4"/>
  <c r="Z19" i="4" s="1"/>
  <c r="Z15" i="4"/>
  <c r="Z21" i="4" s="1"/>
  <c r="J32" i="5"/>
  <c r="J17" i="5"/>
  <c r="J19" i="5" s="1"/>
  <c r="J15" i="5"/>
  <c r="D32" i="4"/>
  <c r="D17" i="4"/>
  <c r="D19" i="4" s="1"/>
  <c r="B40" i="4" s="1"/>
  <c r="B8" i="6" s="1"/>
  <c r="D15" i="4"/>
  <c r="X32" i="5"/>
  <c r="X17" i="5"/>
  <c r="X19" i="5" s="1"/>
  <c r="X15" i="5"/>
  <c r="I15" i="4"/>
  <c r="I21" i="4" s="1"/>
  <c r="I32" i="4"/>
  <c r="I17" i="4"/>
  <c r="I19" i="4" s="1"/>
  <c r="C28" i="4"/>
  <c r="Q32" i="4"/>
  <c r="Q17" i="4"/>
  <c r="Q19" i="4" s="1"/>
  <c r="Q15" i="4"/>
  <c r="Q21" i="4" s="1"/>
  <c r="T23" i="4" l="1"/>
  <c r="T24" i="4" s="1"/>
  <c r="T28" i="4"/>
  <c r="T30" i="4" s="1"/>
  <c r="W23" i="4"/>
  <c r="W24" i="4" s="1"/>
  <c r="W28" i="4"/>
  <c r="W30" i="4" s="1"/>
  <c r="E23" i="4"/>
  <c r="E24" i="4" s="1"/>
  <c r="E28" i="4" s="1"/>
  <c r="E30" i="4" s="1"/>
  <c r="C30" i="4"/>
  <c r="G23" i="5"/>
  <c r="G24" i="5" s="1"/>
  <c r="G28" i="5" s="1"/>
  <c r="G30" i="5" s="1"/>
  <c r="K23" i="4"/>
  <c r="K24" i="4" s="1"/>
  <c r="K28" i="4" s="1"/>
  <c r="K30" i="4" s="1"/>
  <c r="U23" i="5"/>
  <c r="U24" i="5" s="1"/>
  <c r="U28" i="5" s="1"/>
  <c r="U30" i="5" s="1"/>
  <c r="K23" i="5"/>
  <c r="K24" i="5" s="1"/>
  <c r="K28" i="5" s="1"/>
  <c r="K30" i="5" s="1"/>
  <c r="H23" i="5"/>
  <c r="H24" i="5" s="1"/>
  <c r="H28" i="5"/>
  <c r="H30" i="5" s="1"/>
  <c r="Z21" i="5"/>
  <c r="G28" i="4"/>
  <c r="G30" i="4" s="1"/>
  <c r="G23" i="4"/>
  <c r="G24" i="4" s="1"/>
  <c r="X21" i="5"/>
  <c r="M21" i="4"/>
  <c r="D21" i="5"/>
  <c r="J23" i="4"/>
  <c r="J24" i="4" s="1"/>
  <c r="J28" i="4"/>
  <c r="J30" i="4" s="1"/>
  <c r="P21" i="4"/>
  <c r="V21" i="4"/>
  <c r="Z28" i="4"/>
  <c r="Z30" i="4" s="1"/>
  <c r="Z23" i="4"/>
  <c r="Z24" i="4" s="1"/>
  <c r="Q23" i="5"/>
  <c r="Q24" i="5" s="1"/>
  <c r="Q28" i="5"/>
  <c r="Q30" i="5" s="1"/>
  <c r="AB21" i="4"/>
  <c r="I21" i="5"/>
  <c r="R21" i="5"/>
  <c r="O21" i="5"/>
  <c r="L21" i="5"/>
  <c r="R21" i="4"/>
  <c r="AB21" i="5"/>
  <c r="N21" i="4"/>
  <c r="L21" i="4"/>
  <c r="X21" i="4"/>
  <c r="C30" i="5"/>
  <c r="Y21" i="5"/>
  <c r="S21" i="4"/>
  <c r="V23" i="5"/>
  <c r="V24" i="5" s="1"/>
  <c r="V28" i="5" s="1"/>
  <c r="V30" i="5" s="1"/>
  <c r="Q28" i="4"/>
  <c r="Q30" i="4" s="1"/>
  <c r="Q23" i="4"/>
  <c r="Q24" i="4" s="1"/>
  <c r="Y23" i="4"/>
  <c r="Y24" i="4" s="1"/>
  <c r="Y28" i="4" s="1"/>
  <c r="Y30" i="4" s="1"/>
  <c r="D21" i="4"/>
  <c r="M23" i="5"/>
  <c r="M24" i="5" s="1"/>
  <c r="M28" i="5"/>
  <c r="M30" i="5" s="1"/>
  <c r="J21" i="5"/>
  <c r="N23" i="5"/>
  <c r="N24" i="5" s="1"/>
  <c r="N28" i="5" s="1"/>
  <c r="N30" i="5" s="1"/>
  <c r="S21" i="5"/>
  <c r="AA28" i="4"/>
  <c r="AA30" i="4" s="1"/>
  <c r="AA23" i="4"/>
  <c r="AA24" i="4" s="1"/>
  <c r="F23" i="5"/>
  <c r="F24" i="5" s="1"/>
  <c r="F28" i="5" s="1"/>
  <c r="F30" i="5" s="1"/>
  <c r="I23" i="4"/>
  <c r="I24" i="4" s="1"/>
  <c r="I28" i="4"/>
  <c r="I30" i="4" s="1"/>
  <c r="U21" i="4"/>
  <c r="H21" i="4"/>
  <c r="W21" i="5"/>
  <c r="T28" i="5"/>
  <c r="T30" i="5" s="1"/>
  <c r="T23" i="5"/>
  <c r="T24" i="5" s="1"/>
  <c r="AA21" i="5"/>
  <c r="P23" i="5"/>
  <c r="P24" i="5" s="1"/>
  <c r="P28" i="5" s="1"/>
  <c r="P30" i="5" s="1"/>
  <c r="O23" i="4"/>
  <c r="O24" i="4" s="1"/>
  <c r="O28" i="4" s="1"/>
  <c r="O30" i="4" s="1"/>
  <c r="E21" i="5"/>
  <c r="W23" i="5" l="1"/>
  <c r="W24" i="5" s="1"/>
  <c r="W28" i="5"/>
  <c r="W30" i="5" s="1"/>
  <c r="R23" i="4"/>
  <c r="R24" i="4" s="1"/>
  <c r="R28" i="4"/>
  <c r="R30" i="4" s="1"/>
  <c r="C31" i="4"/>
  <c r="N23" i="4"/>
  <c r="N24" i="4" s="1"/>
  <c r="N28" i="4"/>
  <c r="N30" i="4" s="1"/>
  <c r="L23" i="5"/>
  <c r="L24" i="5" s="1"/>
  <c r="L28" i="5" s="1"/>
  <c r="L30" i="5" s="1"/>
  <c r="P23" i="4"/>
  <c r="P24" i="4" s="1"/>
  <c r="P28" i="4" s="1"/>
  <c r="P30" i="4" s="1"/>
  <c r="U23" i="4"/>
  <c r="U24" i="4" s="1"/>
  <c r="U28" i="4" s="1"/>
  <c r="U30" i="4" s="1"/>
  <c r="S23" i="5"/>
  <c r="S24" i="5" s="1"/>
  <c r="S28" i="5"/>
  <c r="S30" i="5" s="1"/>
  <c r="AB23" i="5"/>
  <c r="AB24" i="5" s="1"/>
  <c r="AB28" i="5"/>
  <c r="AB30" i="5" s="1"/>
  <c r="Z23" i="5"/>
  <c r="Z24" i="5" s="1"/>
  <c r="Z28" i="5" s="1"/>
  <c r="Z30" i="5" s="1"/>
  <c r="V23" i="4"/>
  <c r="V24" i="4" s="1"/>
  <c r="V28" i="4" s="1"/>
  <c r="V30" i="4" s="1"/>
  <c r="H23" i="4"/>
  <c r="H24" i="4" s="1"/>
  <c r="H28" i="4"/>
  <c r="H30" i="4" s="1"/>
  <c r="E23" i="5"/>
  <c r="E24" i="5" s="1"/>
  <c r="E28" i="5" s="1"/>
  <c r="E30" i="5" s="1"/>
  <c r="J23" i="5"/>
  <c r="J24" i="5" s="1"/>
  <c r="J28" i="5" s="1"/>
  <c r="J30" i="5" s="1"/>
  <c r="S23" i="4"/>
  <c r="S24" i="4" s="1"/>
  <c r="S28" i="4"/>
  <c r="S30" i="4" s="1"/>
  <c r="O23" i="5"/>
  <c r="O24" i="5" s="1"/>
  <c r="O28" i="5" s="1"/>
  <c r="O30" i="5" s="1"/>
  <c r="Y23" i="5"/>
  <c r="Y24" i="5" s="1"/>
  <c r="Y28" i="5" s="1"/>
  <c r="Y30" i="5" s="1"/>
  <c r="D23" i="5"/>
  <c r="D24" i="5" s="1"/>
  <c r="D28" i="5" s="1"/>
  <c r="D23" i="4"/>
  <c r="D24" i="4" s="1"/>
  <c r="D28" i="4"/>
  <c r="AB23" i="4"/>
  <c r="AB24" i="4" s="1"/>
  <c r="AB28" i="4"/>
  <c r="AB30" i="4" s="1"/>
  <c r="M23" i="4"/>
  <c r="M24" i="4" s="1"/>
  <c r="M28" i="4"/>
  <c r="M30" i="4" s="1"/>
  <c r="R23" i="5"/>
  <c r="R24" i="5" s="1"/>
  <c r="R28" i="5"/>
  <c r="R30" i="5" s="1"/>
  <c r="X23" i="4"/>
  <c r="X24" i="4" s="1"/>
  <c r="X28" i="4"/>
  <c r="X30" i="4" s="1"/>
  <c r="X23" i="5"/>
  <c r="X24" i="5" s="1"/>
  <c r="X28" i="5" s="1"/>
  <c r="X30" i="5" s="1"/>
  <c r="I23" i="5"/>
  <c r="I24" i="5" s="1"/>
  <c r="I28" i="5"/>
  <c r="I30" i="5" s="1"/>
  <c r="C31" i="5"/>
  <c r="AA23" i="5"/>
  <c r="AA24" i="5" s="1"/>
  <c r="AA28" i="5"/>
  <c r="AA30" i="5" s="1"/>
  <c r="L23" i="4"/>
  <c r="L24" i="4" s="1"/>
  <c r="L28" i="4" s="1"/>
  <c r="L30" i="4" s="1"/>
  <c r="D30" i="5" l="1"/>
  <c r="B36" i="5" s="1"/>
  <c r="B37" i="5" s="1"/>
  <c r="C5" i="6" s="1"/>
  <c r="B38" i="5"/>
  <c r="C6" i="6" s="1"/>
  <c r="D30" i="4"/>
  <c r="B36" i="4" s="1"/>
  <c r="B37" i="4" s="1"/>
  <c r="B38" i="4"/>
  <c r="B6" i="6" s="1"/>
  <c r="B39" i="5"/>
  <c r="C7" i="6" s="1"/>
  <c r="D31" i="5"/>
  <c r="E31" i="5" s="1"/>
  <c r="F31" i="5" s="1"/>
  <c r="G31" i="5" s="1"/>
  <c r="H31" i="5" s="1"/>
  <c r="I31" i="5" s="1"/>
  <c r="J31" i="5" s="1"/>
  <c r="K31" i="5" s="1"/>
  <c r="L31" i="5" s="1"/>
  <c r="M31" i="5" s="1"/>
  <c r="N31" i="5" s="1"/>
  <c r="O31" i="5" s="1"/>
  <c r="P31" i="5" s="1"/>
  <c r="Q31" i="5" s="1"/>
  <c r="R31" i="5" s="1"/>
  <c r="S31" i="5" s="1"/>
  <c r="T31" i="5" s="1"/>
  <c r="U31" i="5" s="1"/>
  <c r="V31" i="5" s="1"/>
  <c r="W31" i="5" s="1"/>
  <c r="X31" i="5" s="1"/>
  <c r="Y31" i="5" s="1"/>
  <c r="Z31" i="5" s="1"/>
  <c r="AA31" i="5" s="1"/>
  <c r="AB31" i="5" s="1"/>
  <c r="B14" i="6" l="1"/>
  <c r="B5" i="6"/>
  <c r="D31" i="4"/>
  <c r="E31" i="4" l="1"/>
  <c r="F31" i="4" s="1"/>
  <c r="G31" i="4" s="1"/>
  <c r="H31" i="4" s="1"/>
  <c r="I31" i="4" s="1"/>
  <c r="J31" i="4" s="1"/>
  <c r="K31" i="4" s="1"/>
  <c r="L31" i="4" s="1"/>
  <c r="M31" i="4" s="1"/>
  <c r="N31" i="4" s="1"/>
  <c r="O31" i="4" s="1"/>
  <c r="P31" i="4" s="1"/>
  <c r="Q31" i="4" s="1"/>
  <c r="R31" i="4" s="1"/>
  <c r="S31" i="4" s="1"/>
  <c r="T31" i="4" s="1"/>
  <c r="U31" i="4" s="1"/>
  <c r="V31" i="4" s="1"/>
  <c r="W31" i="4" s="1"/>
  <c r="X31" i="4" s="1"/>
  <c r="Y31" i="4" s="1"/>
  <c r="Z31" i="4" s="1"/>
  <c r="AA31" i="4" s="1"/>
  <c r="AB31" i="4" s="1"/>
  <c r="B39" i="4"/>
  <c r="B7" i="6" s="1"/>
</calcChain>
</file>

<file path=xl/sharedStrings.xml><?xml version="1.0" encoding="utf-8"?>
<sst xmlns="http://schemas.openxmlformats.org/spreadsheetml/2006/main" count="363" uniqueCount="297">
  <si>
    <t>Borssele 1 &amp; 2 — DCF Project Model</t>
  </si>
  <si>
    <t>Deterministic model in Excel | Monte Carlo &amp; ex-post analysis in Python</t>
  </si>
  <si>
    <t>Tabs</t>
  </si>
  <si>
    <t xml:space="preserve">    post-2026 price assumption (default EUR 80/MWh) for the remaining years.</t>
  </si>
  <si>
    <t>SDE+ revenue logic (the core of this project)</t>
  </si>
  <si>
    <t>Price per MWh in years 1-15:  price = market + MAX(0 ; tender - MAX(market ; floor)).</t>
  </si>
  <si>
    <t>Above the tender amount (72.70): producer receives the full market price, no subsidy.</t>
  </si>
  <si>
    <t>Between floor (29) and tender: total revenue equals the tender amount of 72.70.</t>
  </si>
  <si>
    <t>Below the floor: producer bears the difference (market + 43.70, i.e. less than 72.70).</t>
  </si>
  <si>
    <t>After year 15: market price only.</t>
  </si>
  <si>
    <t>Post-2026 price scenarios (Ex-Post tail)</t>
  </si>
  <si>
    <t>Central 80 = recent realised average (~88) x wind capture rate (~90%).</t>
  </si>
  <si>
    <t>Low 55 = gas normalisation + strong cannibalisation.  High 105 = sustained scarcity.</t>
  </si>
  <si>
    <t>Change the 'Market price after actuals' input on Assumptions to run each scenario.</t>
  </si>
  <si>
    <t>CREG CAPEX check (Dashboard)</t>
  </si>
  <si>
    <t>Recomputes the ex-ante NPV with the 2016 CREG CAPEX estimate (EUR 1,891m) instead of</t>
  </si>
  <si>
    <t>the EIB figure (EUR 1,491m): extra outlay at t0 minus the PV of the extra depreciation</t>
  </si>
  <si>
    <t>tax shield. A negative result shows the bid only worked with costs below the CREG estimate.</t>
  </si>
  <si>
    <t>Assumptions</t>
  </si>
  <si>
    <t>Parameter</t>
  </si>
  <si>
    <t>Value</t>
  </si>
  <si>
    <t>Unit</t>
  </si>
  <si>
    <t>Source / note</t>
  </si>
  <si>
    <t>Physical &amp; production</t>
  </si>
  <si>
    <t>Capacity</t>
  </si>
  <si>
    <t>MW</t>
  </si>
  <si>
    <t>Capacity factor</t>
  </si>
  <si>
    <t>fraction</t>
  </si>
  <si>
    <t>CREG 2016</t>
  </si>
  <si>
    <t>Full-load hours</t>
  </si>
  <si>
    <t>hours/yr</t>
  </si>
  <si>
    <t>CF x 8760</t>
  </si>
  <si>
    <t>Gross annual production</t>
  </si>
  <si>
    <t>MWh/yr</t>
  </si>
  <si>
    <t>MW x full-load hours</t>
  </si>
  <si>
    <t>Annual degradation</t>
  </si>
  <si>
    <t>Wind: ~0 (input; test 0.5-1%)</t>
  </si>
  <si>
    <t>CAPEX &amp; decommissioning</t>
  </si>
  <si>
    <t>CAPEX total (EIB)</t>
  </si>
  <si>
    <t>EUR m</t>
  </si>
  <si>
    <t>EIB 2020 (total cost)</t>
  </si>
  <si>
    <t>CAPEX total</t>
  </si>
  <si>
    <t>EUR</t>
  </si>
  <si>
    <t>m x 1,000,000</t>
  </si>
  <si>
    <t>CAPEX total (CREG, check)</t>
  </si>
  <si>
    <t>CREG 2016 (2.515m/MW)</t>
  </si>
  <si>
    <t>Decommissioning cost</t>
  </si>
  <si>
    <t>OPEX</t>
  </si>
  <si>
    <t>OPEX variable</t>
  </si>
  <si>
    <t>EUR/MWh</t>
  </si>
  <si>
    <t>OPEX fixed</t>
  </si>
  <si>
    <t>EUR/MW/yr</t>
  </si>
  <si>
    <t>OPEX inflation</t>
  </si>
  <si>
    <t>fraction/yr</t>
  </si>
  <si>
    <t>Assumption</t>
  </si>
  <si>
    <t>Revenue / SDE+</t>
  </si>
  <si>
    <t>Tender amount (base amount)</t>
  </si>
  <si>
    <t>CREG / Orsted / EZ</t>
  </si>
  <si>
    <t>Floor (base electricity price)</t>
  </si>
  <si>
    <t>RVO (2.9 ct/kWh)</t>
  </si>
  <si>
    <t>Subsidy period</t>
  </si>
  <si>
    <t>years</t>
  </si>
  <si>
    <t>Court of Audit / RVO</t>
  </si>
  <si>
    <t>Market price ex-ante</t>
  </si>
  <si>
    <t>CREG 2016 (Monte Carlo centre)</t>
  </si>
  <si>
    <t>Market price after actuals</t>
  </si>
  <si>
    <t>Post-2026 tail: ~88 realised x ~90% capture</t>
  </si>
  <si>
    <t>Financing &amp; WACC</t>
  </si>
  <si>
    <t>Equity share</t>
  </si>
  <si>
    <t>Debt share</t>
  </si>
  <si>
    <t>Cost of debt</t>
  </si>
  <si>
    <t>Return on equity</t>
  </si>
  <si>
    <t>CREG + Bloomberg</t>
  </si>
  <si>
    <t>Corporate tax rate</t>
  </si>
  <si>
    <t>NL CIT — verify year</t>
  </si>
  <si>
    <t>WACC (after tax)</t>
  </si>
  <si>
    <t>own calculation</t>
  </si>
  <si>
    <t>Timeline</t>
  </si>
  <si>
    <t>COD (start of operations)</t>
  </si>
  <si>
    <t>year</t>
  </si>
  <si>
    <t>Orsted Q4 2020</t>
  </si>
  <si>
    <t>Operational life</t>
  </si>
  <si>
    <t>NL wholesale day-ahead prices</t>
  </si>
  <si>
    <t>Yearly averages</t>
  </si>
  <si>
    <t>Year</t>
  </si>
  <si>
    <t>Avg (EUR/MWh)</t>
  </si>
  <si>
    <t>Month</t>
  </si>
  <si>
    <t>Price (EUR/MWh)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</si>
  <si>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</si>
  <si>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</si>
  <si>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</si>
  <si>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</si>
  <si>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</si>
  <si>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</si>
  <si>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</si>
  <si>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</si>
  <si>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</si>
  <si>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</si>
  <si>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</si>
  <si>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</si>
  <si>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</si>
  <si>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</si>
  <si>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</si>
  <si>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</si>
  <si>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</si>
  <si>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</si>
  <si>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</si>
  <si>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</si>
  <si>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</si>
  <si>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</si>
  <si>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</si>
  <si>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</si>
  <si>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</si>
  <si>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</si>
  <si>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</si>
  <si>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</si>
  <si>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</si>
  <si>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</si>
  <si>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</si>
  <si>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</si>
  <si>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</si>
  <si>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</si>
  <si>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</si>
  <si>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</si>
  <si>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</si>
  <si>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</si>
  <si>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</si>
  <si>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</si>
  <si>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</si>
  <si>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</si>
  <si>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</si>
  <si>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</si>
  <si>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</si>
  <si>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</si>
  <si>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</si>
  <si>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</si>
  <si>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</si>
  <si>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</si>
  <si>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</si>
  <si>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</si>
  <si>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</si>
  <si>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</si>
  <si>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</si>
  <si>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</si>
  <si>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</si>
  <si>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</si>
  <si>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</si>
  <si>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</si>
  <si>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</si>
  <si>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</si>
  <si>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</si>
  <si>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</si>
  <si>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</si>
  <si>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</si>
  <si>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</si>
  <si>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</si>
  <si>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</si>
  <si>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</si>
  <si>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</si>
  <si>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</si>
  <si>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</si>
  <si>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</si>
  <si>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</si>
  <si>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</si>
  <si>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</si>
  <si>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</si>
  <si>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</si>
  <si>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</si>
  <si>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</si>
  <si>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</si>
  <si>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</si>
  <si>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</si>
  <si>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</si>
  <si>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</si>
  <si>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</si>
  <si>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</si>
  <si>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</si>
  <si>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</si>
  <si>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</si>
  <si>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</si>
  <si>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</si>
  <si>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</si>
  <si>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</si>
  <si>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</si>
  <si>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</si>
  <si>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</si>
  <si>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</si>
  <si>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</si>
  <si>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</si>
  <si>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</si>
  <si>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</si>
  <si>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</si>
  <si>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</si>
  <si>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</si>
  <si>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</si>
  <si>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</si>
  <si>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</si>
  <si>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</si>
  <si>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</si>
  <si>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</si>
  <si>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</si>
  <si>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</si>
  <si>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</si>
  <si>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</si>
  <si>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</si>
  <si>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</si>
  <si>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</si>
  <si>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</si>
  <si>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</si>
  <si>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</si>
  <si>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</si>
  <si>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</si>
  <si>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</si>
  <si>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</si>
  <si>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</si>
  <si>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</si>
  <si>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</si>
  <si>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</si>
  <si>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</si>
  <si>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</si>
  <si>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</si>
  <si>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</si>
  <si>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</si>
  <si>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</si>
  <si>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</si>
  <si>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</si>
  <si>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</si>
  <si>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Calendar year</t>
  </si>
  <si>
    <t>Operational year</t>
  </si>
  <si>
    <t>Subsidy active (1/0)</t>
  </si>
  <si>
    <t>PRODUCTION</t>
  </si>
  <si>
    <t>Degradation factor</t>
  </si>
  <si>
    <t>Net production (MWh)</t>
  </si>
  <si>
    <t>REVENUE</t>
  </si>
  <si>
    <t>Market price (EUR/MWh)</t>
  </si>
  <si>
    <t>Subsidy (EUR/MWh)</t>
  </si>
  <si>
    <t>Total price (EUR/MWh)</t>
  </si>
  <si>
    <t>Total revenue (EUR)</t>
  </si>
  <si>
    <t>COSTS</t>
  </si>
  <si>
    <t>OPEX variable (EUR)</t>
  </si>
  <si>
    <t>OPEX fixed (EUR)</t>
  </si>
  <si>
    <t>Total OPEX (EUR)</t>
  </si>
  <si>
    <t>RESULT</t>
  </si>
  <si>
    <t>EBITDA (EUR)</t>
  </si>
  <si>
    <t>Depreciation (EUR)</t>
  </si>
  <si>
    <t>EBIT (EUR)</t>
  </si>
  <si>
    <t>Tax (EUR)</t>
  </si>
  <si>
    <t>CASH FLOW</t>
  </si>
  <si>
    <t>CAPEX (EUR)</t>
  </si>
  <si>
    <t>Decommissioning (EUR)</t>
  </si>
  <si>
    <t>Free cash flow (EUR)</t>
  </si>
  <si>
    <t>Discount factor</t>
  </si>
  <si>
    <t>Discounted cash flow (EUR)</t>
  </si>
  <si>
    <t>Cumulative discounted (EUR)</t>
  </si>
  <si>
    <t>Discounted production (MWh)</t>
  </si>
  <si>
    <t>OUTPUTS</t>
  </si>
  <si>
    <t>NPV (EUR)</t>
  </si>
  <si>
    <t>NPV (EUR m)</t>
  </si>
  <si>
    <t>IRR</t>
  </si>
  <si>
    <t>Payback (disc. years)</t>
  </si>
  <si>
    <t>LCOE (EUR/MWh)</t>
  </si>
  <si>
    <t>Metric</t>
  </si>
  <si>
    <t>Ex-ante</t>
  </si>
  <si>
    <t>Ex-Post</t>
  </si>
  <si>
    <t>Note</t>
  </si>
  <si>
    <t>Net present value</t>
  </si>
  <si>
    <t>Internal rate of return (unlevered)</t>
  </si>
  <si>
    <t>Years until cumulative PV turns positive</t>
  </si>
  <si>
    <t>Levelized cost of energy</t>
  </si>
  <si>
    <t>CREG CAPEX check (ex-ante)</t>
  </si>
  <si>
    <t>Extra CAPEX vs EIB (EUR m)</t>
  </si>
  <si>
    <t>PV extra depreciation tax shield (EUR m)</t>
  </si>
  <si>
    <t>Ex-ante NPV with CREG CAPEX (EUR m)</t>
  </si>
  <si>
    <t>A negative NPV here shows the 2016 bid only worked with costs below the CREG estimate.</t>
  </si>
  <si>
    <t>Valuation benchmarks</t>
  </si>
  <si>
    <t>Source</t>
  </si>
  <si>
    <t>Type</t>
  </si>
  <si>
    <t>Use</t>
  </si>
  <si>
    <t>EIB total cost</t>
  </si>
  <si>
    <t>Construction cost</t>
  </si>
  <si>
    <t>CAPEX basis in the model</t>
  </si>
  <si>
    <t>CREG estimate</t>
  </si>
  <si>
    <t>Construction cost (2016)</t>
  </si>
  <si>
    <t>Comparison / bid check above</t>
  </si>
  <si>
    <t>Norges Bank implied equity</t>
  </si>
  <si>
    <t>Equity value 2021</t>
  </si>
  <si>
    <t>Benchmark for the DCF equity value</t>
  </si>
  <si>
    <t>Model Ex-Post (actual prices)</t>
  </si>
  <si>
    <t>Model Ex-Ante (deterministic)</t>
  </si>
  <si>
    <t>Source: ENTSO-E</t>
  </si>
  <si>
    <t>Orsted</t>
  </si>
  <si>
    <t>Assumptions: Change a value and the whole model recalculates.</t>
  </si>
  <si>
    <t>Price Data: NL wholesale day-ahead prices (ENTSO-E), monthly + yearly averages.</t>
  </si>
  <si>
    <t>Model (ex-ante): annual cash flow with the fixed 2016 price assumption (EUR 30/MWh).</t>
  </si>
  <si>
    <t>Ex-Post: same model, but with actual yearly prices 2021 to mid-2026, and a separate</t>
  </si>
  <si>
    <t>Dashboard: key outputs, ex-ante vs ex-post, valuation benchmarks, and the CREG CAPEX check.</t>
  </si>
  <si>
    <t>Key outputs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</si>
</sst>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#,##0;\(#,##0\);\-"/>
    <numFmt numFmtId="167" formatCode="#,##0.0"/>
  </numFmts>
  <fonts count="19" x14ac:knownFonts="1">
    <font>
      <sz val="11"/>
      <color theme="1"/>
      <name val="Calibri"/>
      <family val="2"/>
      <charset val="1"/>
    </font>
    <font>
      <b/>
      <sz val="16"/>
      <color rgb="FF1F3A5F"/>
      <name val="Arial"/>
      <family val="2"/>
    </font>
    <font>
      <i/>
      <sz val="10"/>
      <color rgb="FF666666"/>
      <name val="Arial"/>
      <family val="2"/>
    </font>
    <font>
      <b/>
      <sz val="11"/>
      <color rgb="FF1F3A5F"/>
      <name val="Arial"/>
      <family val="2"/>
    </font>
    <font>
      <sz val="10"/>
      <color rgb="FF000000"/>
      <name val="Arial"/>
      <family val="2"/>
    </font>
    <font>
      <b/>
      <sz val="15"/>
      <color rgb="FF1F3A5F"/>
      <name val="Arial"/>
      <family val="2"/>
    </font>
    <font>
      <i/>
      <sz val="9"/>
      <color rgb="FF666666"/>
      <name val="Arial"/>
      <family val="2"/>
    </font>
    <font>
      <b/>
      <sz val="10"/>
      <color rgb="FFFFFFFF"/>
      <name val="Arial"/>
      <family val="2"/>
    </font>
    <font>
      <b/>
      <sz val="10"/>
      <color rgb="FF2E6E8E"/>
      <name val="Arial"/>
      <family val="2"/>
    </font>
    <font>
      <sz val="10"/>
      <color rgb="FF0000FF"/>
      <name val="Arial"/>
      <family val="2"/>
    </font>
    <font>
      <sz val="9"/>
      <color rgb="FF666666"/>
      <name val="Arial"/>
      <family val="2"/>
    </font>
    <font>
      <b/>
      <sz val="14"/>
      <color rgb="FF1F3A5F"/>
      <name val="Arial"/>
      <family val="2"/>
    </font>
    <font>
      <sz val="9"/>
      <color rgb="FF000000"/>
      <name val="Arial"/>
      <family val="2"/>
    </font>
    <font>
      <sz val="9"/>
      <color rgb="FF0000FF"/>
      <name val="Arial"/>
      <family val="2"/>
    </font>
    <font>
      <b/>
      <sz val="9"/>
      <color rgb="FF000000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9"/>
      <color rgb="FF008000"/>
      <name val="Arial"/>
      <family val="2"/>
    </font>
    <font>
      <b/>
      <sz val="10"/>
      <color rgb="FF008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DCE6EE"/>
        <bgColor rgb="FFD0D8DE"/>
      </patternFill>
    </fill>
  </fills>
  <borders count="2">
    <border>
      <left/>
      <right/>
      <top/>
      <bottom/>
      <diagonal/>
    </border>
    <border>
      <left style="thin">
        <color rgb="FFD0D8DE"/>
      </left>
      <right style="thin">
        <color rgb="FFD0D8DE"/>
      </right>
      <top style="thin">
        <color rgb="FFD0D8DE"/>
      </top>
      <bottom style="thin">
        <color rgb="FFD0D8DE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9" fillId="0" borderId="1" xfId="0" applyNumberFormat="1" applyFont="1" applyBorder="1" applyAlignment="1">
      <alignment horizontal="right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164" fontId="9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2" fontId="9" fillId="0" borderId="1" xfId="0" applyNumberFormat="1" applyFont="1" applyBorder="1" applyAlignment="1">
      <alignment horizontal="right" vertical="center"/>
    </xf>
    <xf numFmtId="1" fontId="9" fillId="0" borderId="1" xfId="0" applyNumberFormat="1" applyFont="1" applyBorder="1" applyAlignment="1">
      <alignment horizontal="right" vertical="center"/>
    </xf>
    <xf numFmtId="10" fontId="4" fillId="0" borderId="1" xfId="0" applyNumberFormat="1" applyFont="1" applyBorder="1" applyAlignment="1">
      <alignment horizontal="right" vertical="center"/>
    </xf>
    <xf numFmtId="0" fontId="11" fillId="0" borderId="0" xfId="0" applyFont="1"/>
    <xf numFmtId="1" fontId="4" fillId="0" borderId="1" xfId="0" applyNumberFormat="1" applyFont="1" applyBorder="1" applyAlignment="1">
      <alignment horizontal="center" vertical="center"/>
    </xf>
    <xf numFmtId="4" fontId="4" fillId="0" borderId="1" xfId="0" applyNumberFormat="1" applyFont="1" applyBorder="1" applyAlignment="1">
      <alignment horizontal="right" vertical="center"/>
    </xf>
    <xf numFmtId="0" fontId="12" fillId="0" borderId="1" xfId="0" applyFont="1" applyBorder="1" applyAlignment="1">
      <alignment horizontal="left" vertical="center"/>
    </xf>
    <xf numFmtId="4" fontId="13" fillId="0" borderId="1" xfId="0" applyNumberFormat="1" applyFont="1" applyBorder="1" applyAlignment="1">
      <alignment horizontal="right" vertical="center"/>
    </xf>
    <xf numFmtId="1" fontId="10" fillId="0" borderId="1" xfId="0" applyNumberFormat="1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1" fontId="14" fillId="3" borderId="0" xfId="0" applyNumberFormat="1" applyFont="1" applyFill="1" applyAlignment="1">
      <alignment horizontal="center" vertical="center"/>
    </xf>
    <xf numFmtId="1" fontId="12" fillId="3" borderId="0" xfId="0" applyNumberFormat="1" applyFont="1" applyFill="1" applyAlignment="1">
      <alignment horizontal="center" vertical="center"/>
    </xf>
    <xf numFmtId="0" fontId="0" fillId="3" borderId="1" xfId="0" applyFill="1" applyBorder="1"/>
    <xf numFmtId="165" fontId="12" fillId="0" borderId="1" xfId="0" applyNumberFormat="1" applyFont="1" applyBorder="1" applyAlignment="1">
      <alignment horizontal="right" vertical="center"/>
    </xf>
    <xf numFmtId="3" fontId="12" fillId="0" borderId="1" xfId="0" applyNumberFormat="1" applyFont="1" applyBorder="1" applyAlignment="1">
      <alignment horizontal="right" vertical="center"/>
    </xf>
    <xf numFmtId="4" fontId="12" fillId="0" borderId="1" xfId="0" applyNumberFormat="1" applyFont="1" applyBorder="1" applyAlignment="1">
      <alignment horizontal="right" vertical="center"/>
    </xf>
    <xf numFmtId="166" fontId="12" fillId="0" borderId="1" xfId="0" applyNumberFormat="1" applyFont="1" applyBorder="1" applyAlignment="1">
      <alignment horizontal="right" vertical="center"/>
    </xf>
    <xf numFmtId="0" fontId="15" fillId="2" borderId="1" xfId="0" applyFont="1" applyFill="1" applyBorder="1" applyAlignment="1">
      <alignment horizontal="left" vertical="center"/>
    </xf>
    <xf numFmtId="0" fontId="0" fillId="2" borderId="1" xfId="0" applyFill="1" applyBorder="1"/>
    <xf numFmtId="166" fontId="16" fillId="0" borderId="1" xfId="0" applyNumberFormat="1" applyFont="1" applyBorder="1" applyAlignment="1">
      <alignment horizontal="right" vertical="center"/>
    </xf>
    <xf numFmtId="167" fontId="16" fillId="0" borderId="1" xfId="0" applyNumberFormat="1" applyFont="1" applyBorder="1" applyAlignment="1">
      <alignment horizontal="right" vertical="center"/>
    </xf>
    <xf numFmtId="164" fontId="16" fillId="0" borderId="1" xfId="0" applyNumberFormat="1" applyFont="1" applyBorder="1" applyAlignment="1">
      <alignment horizontal="right" vertical="center"/>
    </xf>
    <xf numFmtId="1" fontId="16" fillId="0" borderId="1" xfId="0" applyNumberFormat="1" applyFont="1" applyBorder="1" applyAlignment="1">
      <alignment horizontal="right" vertical="center"/>
    </xf>
    <xf numFmtId="4" fontId="16" fillId="0" borderId="1" xfId="0" applyNumberFormat="1" applyFont="1" applyBorder="1" applyAlignment="1">
      <alignment horizontal="right" vertical="center"/>
    </xf>
    <xf numFmtId="4" fontId="17" fillId="0" borderId="1" xfId="0" applyNumberFormat="1" applyFont="1" applyBorder="1" applyAlignment="1">
      <alignment horizontal="right" vertical="center"/>
    </xf>
    <xf numFmtId="167" fontId="18" fillId="0" borderId="1" xfId="0" applyNumberFormat="1" applyFont="1" applyBorder="1" applyAlignment="1">
      <alignment horizontal="right" vertical="center"/>
    </xf>
    <xf numFmtId="164" fontId="18" fillId="0" borderId="1" xfId="0" applyNumberFormat="1" applyFont="1" applyBorder="1" applyAlignment="1">
      <alignment horizontal="right" vertical="center"/>
    </xf>
    <xf numFmtId="1" fontId="18" fillId="0" borderId="1" xfId="0" applyNumberFormat="1" applyFont="1" applyBorder="1" applyAlignment="1">
      <alignment horizontal="right" vertical="center"/>
    </xf>
    <xf numFmtId="4" fontId="18" fillId="0" borderId="1" xfId="0" applyNumberFormat="1" applyFont="1" applyBorder="1" applyAlignment="1">
      <alignment horizontal="right" vertical="center"/>
    </xf>
    <xf numFmtId="3" fontId="16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6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E6E8E"/>
      <rgbColor rgb="FFC0C0C0"/>
      <rgbColor rgb="FF808080"/>
      <rgbColor rgb="FF9999FF"/>
      <rgbColor rgb="FF993366"/>
      <rgbColor rgb="FFFFFFCC"/>
      <rgbColor rgb="FFDCE6EE"/>
      <rgbColor rgb="FF660066"/>
      <rgbColor rgb="FFFF8080"/>
      <rgbColor rgb="FF0066CC"/>
      <rgbColor rgb="FFD0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29"/>
  <sheetViews>
    <sheetView showGridLines="0" zoomScaleNormal="100" workbookViewId="0"/>
  </sheetViews>
  <sheetFormatPr baseColWidth="10" defaultColWidth="8.6640625" defaultRowHeight="15" x14ac:dyDescent="0.2"/>
  <cols>
    <col min="1" max="1" width="3" customWidth="1"/>
    <col min="2" max="2" width="100" customWidth="1"/>
  </cols>
  <sheetData>
    <row r="2" spans="2:2" ht="20" x14ac:dyDescent="0.2">
      <c r="B2" s="1" t="s">
        <v>0</v>
      </c>
    </row>
    <row r="3" spans="2:2" x14ac:dyDescent="0.2">
      <c r="B3" s="2" t="s">
        <v>1</v>
      </c>
    </row>
    <row r="5" spans="2:2" x14ac:dyDescent="0.2">
      <c r="B5" s="3" t="s">
        <v>2</v>
      </c>
    </row>
    <row r="6" spans="2:2" x14ac:dyDescent="0.2">
      <c r="B6" s="4" t="s">
        <v>291</v>
      </c>
    </row>
    <row r="7" spans="2:2" x14ac:dyDescent="0.2">
      <c r="B7" s="4" t="s">
        <v>292</v>
      </c>
    </row>
    <row r="8" spans="2:2" x14ac:dyDescent="0.2">
      <c r="B8" s="4" t="s">
        <v>293</v>
      </c>
    </row>
    <row r="9" spans="2:2" x14ac:dyDescent="0.2">
      <c r="B9" s="4" t="s">
        <v>294</v>
      </c>
    </row>
    <row r="10" spans="2:2" x14ac:dyDescent="0.2">
      <c r="B10" s="4" t="s">
        <v>3</v>
      </c>
    </row>
    <row r="11" spans="2:2" x14ac:dyDescent="0.2">
      <c r="B11" s="4" t="s">
        <v>295</v>
      </c>
    </row>
    <row r="13" spans="2:2" x14ac:dyDescent="0.2">
      <c r="B13" s="3"/>
    </row>
    <row r="14" spans="2:2" x14ac:dyDescent="0.2">
      <c r="B14" s="3" t="s">
        <v>4</v>
      </c>
    </row>
    <row r="15" spans="2:2" x14ac:dyDescent="0.2">
      <c r="B15" s="4" t="s">
        <v>5</v>
      </c>
    </row>
    <row r="16" spans="2:2" x14ac:dyDescent="0.2">
      <c r="B16" s="4" t="s">
        <v>6</v>
      </c>
    </row>
    <row r="17" spans="2:2" x14ac:dyDescent="0.2">
      <c r="B17" s="4" t="s">
        <v>7</v>
      </c>
    </row>
    <row r="18" spans="2:2" x14ac:dyDescent="0.2">
      <c r="B18" s="4" t="s">
        <v>8</v>
      </c>
    </row>
    <row r="19" spans="2:2" x14ac:dyDescent="0.2">
      <c r="B19" s="4" t="s">
        <v>9</v>
      </c>
    </row>
    <row r="21" spans="2:2" x14ac:dyDescent="0.2">
      <c r="B21" s="3" t="s">
        <v>10</v>
      </c>
    </row>
    <row r="22" spans="2:2" x14ac:dyDescent="0.2">
      <c r="B22" s="4" t="s">
        <v>11</v>
      </c>
    </row>
    <row r="23" spans="2:2" x14ac:dyDescent="0.2">
      <c r="B23" s="4" t="s">
        <v>12</v>
      </c>
    </row>
    <row r="24" spans="2:2" x14ac:dyDescent="0.2">
      <c r="B24" s="4" t="s">
        <v>13</v>
      </c>
    </row>
    <row r="26" spans="2:2" x14ac:dyDescent="0.2">
      <c r="B26" s="3" t="s">
        <v>14</v>
      </c>
    </row>
    <row r="27" spans="2:2" x14ac:dyDescent="0.2">
      <c r="B27" s="4" t="s">
        <v>15</v>
      </c>
    </row>
    <row r="28" spans="2:2" x14ac:dyDescent="0.2">
      <c r="B28" s="4" t="s">
        <v>16</v>
      </c>
    </row>
    <row r="29" spans="2:2" x14ac:dyDescent="0.2">
      <c r="B29" s="4" t="s">
        <v>17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"/>
  <sheetViews>
    <sheetView showGridLines="0" zoomScaleNormal="100" workbookViewId="0"/>
  </sheetViews>
  <sheetFormatPr baseColWidth="10" defaultColWidth="8.6640625" defaultRowHeight="15" x14ac:dyDescent="0.2"/>
  <cols>
    <col min="1" max="1" width="34" customWidth="1"/>
    <col min="2" max="3" width="16" customWidth="1"/>
    <col min="4" max="4" width="44" customWidth="1"/>
  </cols>
  <sheetData>
    <row r="1" spans="1:4" ht="19" x14ac:dyDescent="0.2">
      <c r="A1" s="5" t="s">
        <v>18</v>
      </c>
    </row>
    <row r="2" spans="1:4" x14ac:dyDescent="0.2">
      <c r="A2" s="6"/>
    </row>
    <row r="4" spans="1:4" x14ac:dyDescent="0.2">
      <c r="A4" s="7" t="s">
        <v>19</v>
      </c>
      <c r="B4" s="7" t="s">
        <v>20</v>
      </c>
      <c r="C4" s="7" t="s">
        <v>21</v>
      </c>
      <c r="D4" s="7" t="s">
        <v>22</v>
      </c>
    </row>
    <row r="5" spans="1:4" x14ac:dyDescent="0.2">
      <c r="A5" s="8" t="s">
        <v>23</v>
      </c>
      <c r="B5" s="8"/>
      <c r="C5" s="8"/>
      <c r="D5" s="8"/>
    </row>
    <row r="6" spans="1:4" x14ac:dyDescent="0.2">
      <c r="A6" s="9" t="s">
        <v>24</v>
      </c>
      <c r="B6" s="10">
        <v>752</v>
      </c>
      <c r="C6" s="11" t="s">
        <v>25</v>
      </c>
      <c r="D6" s="12" t="s">
        <v>290</v>
      </c>
    </row>
    <row r="7" spans="1:4" x14ac:dyDescent="0.2">
      <c r="A7" s="9" t="s">
        <v>26</v>
      </c>
      <c r="B7" s="13">
        <v>0.5</v>
      </c>
      <c r="C7" s="11" t="s">
        <v>27</v>
      </c>
      <c r="D7" s="12" t="s">
        <v>28</v>
      </c>
    </row>
    <row r="8" spans="1:4" x14ac:dyDescent="0.2">
      <c r="A8" s="9" t="s">
        <v>29</v>
      </c>
      <c r="B8" s="14">
        <f>B7*8760</f>
        <v>4380</v>
      </c>
      <c r="C8" s="11" t="s">
        <v>30</v>
      </c>
      <c r="D8" s="12" t="s">
        <v>31</v>
      </c>
    </row>
    <row r="9" spans="1:4" x14ac:dyDescent="0.2">
      <c r="A9" s="9" t="s">
        <v>32</v>
      </c>
      <c r="B9" s="14">
        <f>B6*B8</f>
        <v>3293760</v>
      </c>
      <c r="C9" s="11" t="s">
        <v>33</v>
      </c>
      <c r="D9" s="12" t="s">
        <v>34</v>
      </c>
    </row>
    <row r="10" spans="1:4" x14ac:dyDescent="0.2">
      <c r="A10" s="9" t="s">
        <v>35</v>
      </c>
      <c r="B10" s="13">
        <v>0</v>
      </c>
      <c r="C10" s="11" t="s">
        <v>27</v>
      </c>
      <c r="D10" s="12" t="s">
        <v>36</v>
      </c>
    </row>
    <row r="11" spans="1:4" x14ac:dyDescent="0.2">
      <c r="A11" s="8" t="s">
        <v>37</v>
      </c>
      <c r="B11" s="8"/>
      <c r="C11" s="8"/>
      <c r="D11" s="8"/>
    </row>
    <row r="12" spans="1:4" x14ac:dyDescent="0.2">
      <c r="A12" s="9" t="s">
        <v>38</v>
      </c>
      <c r="B12" s="10">
        <v>1491</v>
      </c>
      <c r="C12" s="11" t="s">
        <v>39</v>
      </c>
      <c r="D12" s="12" t="s">
        <v>40</v>
      </c>
    </row>
    <row r="13" spans="1:4" x14ac:dyDescent="0.2">
      <c r="A13" s="9" t="s">
        <v>41</v>
      </c>
      <c r="B13" s="14">
        <f>B12*1000000</f>
        <v>1491000000</v>
      </c>
      <c r="C13" s="11" t="s">
        <v>42</v>
      </c>
      <c r="D13" s="12" t="s">
        <v>43</v>
      </c>
    </row>
    <row r="14" spans="1:4" x14ac:dyDescent="0.2">
      <c r="A14" s="9" t="s">
        <v>44</v>
      </c>
      <c r="B14" s="10">
        <v>1891</v>
      </c>
      <c r="C14" s="11" t="s">
        <v>39</v>
      </c>
      <c r="D14" s="12" t="s">
        <v>45</v>
      </c>
    </row>
    <row r="15" spans="1:4" x14ac:dyDescent="0.2">
      <c r="A15" s="9" t="s">
        <v>46</v>
      </c>
      <c r="B15" s="10">
        <v>42</v>
      </c>
      <c r="C15" s="11" t="s">
        <v>39</v>
      </c>
      <c r="D15" s="12" t="s">
        <v>28</v>
      </c>
    </row>
    <row r="16" spans="1:4" x14ac:dyDescent="0.2">
      <c r="A16" s="9" t="s">
        <v>46</v>
      </c>
      <c r="B16" s="14">
        <f>B15*1000000</f>
        <v>42000000</v>
      </c>
      <c r="C16" s="11" t="s">
        <v>42</v>
      </c>
      <c r="D16" s="12" t="s">
        <v>43</v>
      </c>
    </row>
    <row r="17" spans="1:4" x14ac:dyDescent="0.2">
      <c r="A17" s="8" t="s">
        <v>47</v>
      </c>
      <c r="B17" s="8"/>
      <c r="C17" s="8"/>
      <c r="D17" s="8"/>
    </row>
    <row r="18" spans="1:4" x14ac:dyDescent="0.2">
      <c r="A18" s="9" t="s">
        <v>48</v>
      </c>
      <c r="B18" s="15">
        <v>9.59</v>
      </c>
      <c r="C18" s="11" t="s">
        <v>49</v>
      </c>
      <c r="D18" s="12" t="s">
        <v>28</v>
      </c>
    </row>
    <row r="19" spans="1:4" x14ac:dyDescent="0.2">
      <c r="A19" s="9" t="s">
        <v>50</v>
      </c>
      <c r="B19" s="10">
        <v>40350</v>
      </c>
      <c r="C19" s="11" t="s">
        <v>51</v>
      </c>
      <c r="D19" s="12" t="s">
        <v>28</v>
      </c>
    </row>
    <row r="20" spans="1:4" x14ac:dyDescent="0.2">
      <c r="A20" s="9" t="s">
        <v>52</v>
      </c>
      <c r="B20" s="13">
        <v>0.02</v>
      </c>
      <c r="C20" s="11" t="s">
        <v>53</v>
      </c>
      <c r="D20" s="12" t="s">
        <v>54</v>
      </c>
    </row>
    <row r="21" spans="1:4" x14ac:dyDescent="0.2">
      <c r="A21" s="8" t="s">
        <v>55</v>
      </c>
      <c r="B21" s="8"/>
      <c r="C21" s="8"/>
      <c r="D21" s="8"/>
    </row>
    <row r="22" spans="1:4" x14ac:dyDescent="0.2">
      <c r="A22" s="9" t="s">
        <v>56</v>
      </c>
      <c r="B22" s="15">
        <v>72.7</v>
      </c>
      <c r="C22" s="11" t="s">
        <v>49</v>
      </c>
      <c r="D22" s="12" t="s">
        <v>57</v>
      </c>
    </row>
    <row r="23" spans="1:4" x14ac:dyDescent="0.2">
      <c r="A23" s="9" t="s">
        <v>58</v>
      </c>
      <c r="B23" s="15">
        <v>29</v>
      </c>
      <c r="C23" s="11" t="s">
        <v>49</v>
      </c>
      <c r="D23" s="12" t="s">
        <v>59</v>
      </c>
    </row>
    <row r="24" spans="1:4" x14ac:dyDescent="0.2">
      <c r="A24" s="9" t="s">
        <v>60</v>
      </c>
      <c r="B24" s="16">
        <v>15</v>
      </c>
      <c r="C24" s="11" t="s">
        <v>61</v>
      </c>
      <c r="D24" s="12" t="s">
        <v>62</v>
      </c>
    </row>
    <row r="25" spans="1:4" x14ac:dyDescent="0.2">
      <c r="A25" s="9" t="s">
        <v>63</v>
      </c>
      <c r="B25" s="15">
        <v>30</v>
      </c>
      <c r="C25" s="11" t="s">
        <v>49</v>
      </c>
      <c r="D25" s="12" t="s">
        <v>64</v>
      </c>
    </row>
    <row r="26" spans="1:4" x14ac:dyDescent="0.2">
      <c r="A26" s="9" t="s">
        <v>65</v>
      </c>
      <c r="B26" s="15">
        <v>80</v>
      </c>
      <c r="C26" s="11" t="s">
        <v>49</v>
      </c>
      <c r="D26" s="12" t="s">
        <v>66</v>
      </c>
    </row>
    <row r="27" spans="1:4" x14ac:dyDescent="0.2">
      <c r="A27" s="8" t="s">
        <v>67</v>
      </c>
      <c r="B27" s="8"/>
      <c r="C27" s="8"/>
      <c r="D27" s="8"/>
    </row>
    <row r="28" spans="1:4" x14ac:dyDescent="0.2">
      <c r="A28" s="9" t="s">
        <v>68</v>
      </c>
      <c r="B28" s="13">
        <v>0.3</v>
      </c>
      <c r="C28" s="11" t="s">
        <v>27</v>
      </c>
      <c r="D28" s="12" t="s">
        <v>28</v>
      </c>
    </row>
    <row r="29" spans="1:4" x14ac:dyDescent="0.2">
      <c r="A29" s="9" t="s">
        <v>69</v>
      </c>
      <c r="B29" s="13">
        <v>0.7</v>
      </c>
      <c r="C29" s="11" t="s">
        <v>27</v>
      </c>
      <c r="D29" s="12" t="s">
        <v>28</v>
      </c>
    </row>
    <row r="30" spans="1:4" x14ac:dyDescent="0.2">
      <c r="A30" s="9" t="s">
        <v>70</v>
      </c>
      <c r="B30" s="13">
        <v>2.5000000000000001E-2</v>
      </c>
      <c r="C30" s="11" t="s">
        <v>27</v>
      </c>
      <c r="D30" s="12" t="s">
        <v>28</v>
      </c>
    </row>
    <row r="31" spans="1:4" x14ac:dyDescent="0.2">
      <c r="A31" s="9" t="s">
        <v>71</v>
      </c>
      <c r="B31" s="13">
        <v>0.1</v>
      </c>
      <c r="C31" s="11" t="s">
        <v>27</v>
      </c>
      <c r="D31" s="12" t="s">
        <v>72</v>
      </c>
    </row>
    <row r="32" spans="1:4" x14ac:dyDescent="0.2">
      <c r="A32" s="9" t="s">
        <v>73</v>
      </c>
      <c r="B32" s="13">
        <v>0.25800000000000001</v>
      </c>
      <c r="C32" s="11" t="s">
        <v>27</v>
      </c>
      <c r="D32" s="12" t="s">
        <v>74</v>
      </c>
    </row>
    <row r="33" spans="1:4" x14ac:dyDescent="0.2">
      <c r="A33" s="9" t="s">
        <v>75</v>
      </c>
      <c r="B33" s="17">
        <f>B28*B31+B29*B30*(1-B32)</f>
        <v>4.2984999999999995E-2</v>
      </c>
      <c r="C33" s="11" t="s">
        <v>27</v>
      </c>
      <c r="D33" s="12" t="s">
        <v>76</v>
      </c>
    </row>
    <row r="34" spans="1:4" x14ac:dyDescent="0.2">
      <c r="A34" s="8" t="s">
        <v>77</v>
      </c>
      <c r="B34" s="8"/>
      <c r="C34" s="8"/>
      <c r="D34" s="8"/>
    </row>
    <row r="35" spans="1:4" x14ac:dyDescent="0.2">
      <c r="A35" s="9" t="s">
        <v>78</v>
      </c>
      <c r="B35" s="16">
        <v>2021</v>
      </c>
      <c r="C35" s="11" t="s">
        <v>79</v>
      </c>
      <c r="D35" s="12" t="s">
        <v>80</v>
      </c>
    </row>
    <row r="36" spans="1:4" x14ac:dyDescent="0.2">
      <c r="A36" s="9" t="s">
        <v>81</v>
      </c>
      <c r="B36" s="16">
        <v>25</v>
      </c>
      <c r="C36" s="11" t="s">
        <v>61</v>
      </c>
      <c r="D36" s="12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8"/>
  <sheetViews>
    <sheetView showGridLines="0" zoomScaleNormal="100" workbookViewId="0"/>
  </sheetViews>
  <sheetFormatPr baseColWidth="10" defaultColWidth="8.6640625" defaultRowHeight="15" x14ac:dyDescent="0.2"/>
  <cols>
    <col min="1" max="1" width="14" customWidth="1"/>
    <col min="2" max="2" width="20" customWidth="1"/>
    <col min="3" max="3" width="10" customWidth="1"/>
    <col min="5" max="5" width="14" customWidth="1"/>
    <col min="6" max="6" width="18" customWidth="1"/>
  </cols>
  <sheetData>
    <row r="1" spans="1:6" ht="18" x14ac:dyDescent="0.2">
      <c r="A1" s="18" t="s">
        <v>82</v>
      </c>
    </row>
    <row r="2" spans="1:6" x14ac:dyDescent="0.2">
      <c r="A2" s="6" t="s">
        <v>289</v>
      </c>
    </row>
    <row r="3" spans="1:6" x14ac:dyDescent="0.2">
      <c r="E3" s="3" t="s">
        <v>83</v>
      </c>
    </row>
    <row r="4" spans="1:6" x14ac:dyDescent="0.2">
      <c r="E4" s="7" t="s">
        <v>84</v>
      </c>
      <c r="F4" s="7" t="s">
        <v>85</v>
      </c>
    </row>
    <row r="5" spans="1:6" x14ac:dyDescent="0.2">
      <c r="E5" s="19">
        <v>2015</v>
      </c>
      <c r="F5" s="20">
        <f t="shared" ref="F5:F16" si="0">AVERAGEIF($C$20:$C$158,E5,$B$20:$B$158)</f>
        <v>40.07</v>
      </c>
    </row>
    <row r="6" spans="1:6" x14ac:dyDescent="0.2">
      <c r="E6" s="19">
        <v>2016</v>
      </c>
      <c r="F6" s="20">
        <f t="shared" si="0"/>
        <v>32.222499999999997</v>
      </c>
    </row>
    <row r="7" spans="1:6" x14ac:dyDescent="0.2">
      <c r="E7" s="19">
        <v>2017</v>
      </c>
      <c r="F7" s="20">
        <f t="shared" si="0"/>
        <v>39.329166666666659</v>
      </c>
    </row>
    <row r="8" spans="1:6" x14ac:dyDescent="0.2">
      <c r="E8" s="19">
        <v>2018</v>
      </c>
      <c r="F8" s="20">
        <f t="shared" si="0"/>
        <v>52.489166666666669</v>
      </c>
    </row>
    <row r="9" spans="1:6" x14ac:dyDescent="0.2">
      <c r="E9" s="19">
        <v>2019</v>
      </c>
      <c r="F9" s="20">
        <f t="shared" si="0"/>
        <v>41.215833333333329</v>
      </c>
    </row>
    <row r="10" spans="1:6" x14ac:dyDescent="0.2">
      <c r="E10" s="19">
        <v>2020</v>
      </c>
      <c r="F10" s="20">
        <f t="shared" si="0"/>
        <v>32.227499999999999</v>
      </c>
    </row>
    <row r="11" spans="1:6" x14ac:dyDescent="0.2">
      <c r="E11" s="19">
        <v>2021</v>
      </c>
      <c r="F11" s="20">
        <f t="shared" si="0"/>
        <v>102.64833333333333</v>
      </c>
    </row>
    <row r="12" spans="1:6" x14ac:dyDescent="0.2">
      <c r="E12" s="19">
        <v>2022</v>
      </c>
      <c r="F12" s="20">
        <f t="shared" si="0"/>
        <v>241.20416666666665</v>
      </c>
    </row>
    <row r="13" spans="1:6" x14ac:dyDescent="0.2">
      <c r="E13" s="19">
        <v>2023</v>
      </c>
      <c r="F13" s="20">
        <f t="shared" si="0"/>
        <v>96.134166666666658</v>
      </c>
    </row>
    <row r="14" spans="1:6" x14ac:dyDescent="0.2">
      <c r="E14" s="19">
        <v>2024</v>
      </c>
      <c r="F14" s="20">
        <f t="shared" si="0"/>
        <v>77.239166666666662</v>
      </c>
    </row>
    <row r="15" spans="1:6" x14ac:dyDescent="0.2">
      <c r="E15" s="19">
        <v>2025</v>
      </c>
      <c r="F15" s="20">
        <f t="shared" si="0"/>
        <v>87.55</v>
      </c>
    </row>
    <row r="16" spans="1:6" x14ac:dyDescent="0.2">
      <c r="E16" s="19">
        <v>2026</v>
      </c>
      <c r="F16" s="20">
        <f t="shared" si="0"/>
        <v>96.497142857142848</v>
      </c>
    </row>
    <row r="19" spans="1:3" x14ac:dyDescent="0.2">
      <c r="A19" s="7" t="s">
        <v>86</v>
      </c>
      <c r="B19" s="7" t="s">
        <v>87</v>
      </c>
      <c r="C19" s="7" t="s">
        <v>84</v>
      </c>
    </row>
    <row r="20" spans="1:3" x14ac:dyDescent="0.2">
      <c r="A20" s="21" t="s">
        <v>88</v>
      </c>
      <c r="B20" s="22">
        <v>40.51</v>
      </c>
      <c r="C20" s="23">
        <v>2015</v>
      </c>
    </row>
    <row r="21" spans="1:3" x14ac:dyDescent="0.2">
      <c r="A21" s="21" t="s">
        <v>89</v>
      </c>
      <c r="B21" s="22">
        <v>46.37</v>
      </c>
      <c r="C21" s="23">
        <v>2015</v>
      </c>
    </row>
    <row r="22" spans="1:3" x14ac:dyDescent="0.2">
      <c r="A22" s="21" t="s">
        <v>90</v>
      </c>
      <c r="B22" s="22">
        <v>42.18</v>
      </c>
      <c r="C22" s="23">
        <v>2015</v>
      </c>
    </row>
    <row r="23" spans="1:3" x14ac:dyDescent="0.2">
      <c r="A23" s="21" t="s">
        <v>91</v>
      </c>
      <c r="B23" s="22">
        <v>41.4</v>
      </c>
      <c r="C23" s="23">
        <v>2015</v>
      </c>
    </row>
    <row r="24" spans="1:3" x14ac:dyDescent="0.2">
      <c r="A24" s="21" t="s">
        <v>92</v>
      </c>
      <c r="B24" s="22">
        <v>37.340000000000003</v>
      </c>
      <c r="C24" s="23">
        <v>2015</v>
      </c>
    </row>
    <row r="25" spans="1:3" x14ac:dyDescent="0.2">
      <c r="A25" s="21" t="s">
        <v>93</v>
      </c>
      <c r="B25" s="22">
        <v>38.729999999999997</v>
      </c>
      <c r="C25" s="23">
        <v>2015</v>
      </c>
    </row>
    <row r="26" spans="1:3" x14ac:dyDescent="0.2">
      <c r="A26" s="21" t="s">
        <v>94</v>
      </c>
      <c r="B26" s="22">
        <v>42.19</v>
      </c>
      <c r="C26" s="23">
        <v>2015</v>
      </c>
    </row>
    <row r="27" spans="1:3" x14ac:dyDescent="0.2">
      <c r="A27" s="21" t="s">
        <v>95</v>
      </c>
      <c r="B27" s="22">
        <v>38.869999999999997</v>
      </c>
      <c r="C27" s="23">
        <v>2015</v>
      </c>
    </row>
    <row r="28" spans="1:3" x14ac:dyDescent="0.2">
      <c r="A28" s="21" t="s">
        <v>96</v>
      </c>
      <c r="B28" s="22">
        <v>39.65</v>
      </c>
      <c r="C28" s="23">
        <v>2015</v>
      </c>
    </row>
    <row r="29" spans="1:3" x14ac:dyDescent="0.2">
      <c r="A29" s="21" t="s">
        <v>97</v>
      </c>
      <c r="B29" s="22">
        <v>41.45</v>
      </c>
      <c r="C29" s="23">
        <v>2015</v>
      </c>
    </row>
    <row r="30" spans="1:3" x14ac:dyDescent="0.2">
      <c r="A30" s="21" t="s">
        <v>98</v>
      </c>
      <c r="B30" s="22">
        <v>38.44</v>
      </c>
      <c r="C30" s="23">
        <v>2015</v>
      </c>
    </row>
    <row r="31" spans="1:3" x14ac:dyDescent="0.2">
      <c r="A31" s="21" t="s">
        <v>99</v>
      </c>
      <c r="B31" s="22">
        <v>33.71</v>
      </c>
      <c r="C31" s="23">
        <v>2015</v>
      </c>
    </row>
    <row r="32" spans="1:3" x14ac:dyDescent="0.2">
      <c r="A32" s="21" t="s">
        <v>100</v>
      </c>
      <c r="B32" s="22">
        <v>31.56</v>
      </c>
      <c r="C32" s="23">
        <v>2016</v>
      </c>
    </row>
    <row r="33" spans="1:3" x14ac:dyDescent="0.2">
      <c r="A33" s="21" t="s">
        <v>101</v>
      </c>
      <c r="B33" s="22">
        <v>25.2</v>
      </c>
      <c r="C33" s="23">
        <v>2016</v>
      </c>
    </row>
    <row r="34" spans="1:3" x14ac:dyDescent="0.2">
      <c r="A34" s="21" t="s">
        <v>102</v>
      </c>
      <c r="B34" s="22">
        <v>26.14</v>
      </c>
      <c r="C34" s="23">
        <v>2016</v>
      </c>
    </row>
    <row r="35" spans="1:3" x14ac:dyDescent="0.2">
      <c r="A35" s="21" t="s">
        <v>103</v>
      </c>
      <c r="B35" s="22">
        <v>25.32</v>
      </c>
      <c r="C35" s="23">
        <v>2016</v>
      </c>
    </row>
    <row r="36" spans="1:3" x14ac:dyDescent="0.2">
      <c r="A36" s="21" t="s">
        <v>104</v>
      </c>
      <c r="B36" s="22">
        <v>27.2</v>
      </c>
      <c r="C36" s="23">
        <v>2016</v>
      </c>
    </row>
    <row r="37" spans="1:3" x14ac:dyDescent="0.2">
      <c r="A37" s="21" t="s">
        <v>105</v>
      </c>
      <c r="B37" s="22">
        <v>32.6</v>
      </c>
      <c r="C37" s="23">
        <v>2016</v>
      </c>
    </row>
    <row r="38" spans="1:3" x14ac:dyDescent="0.2">
      <c r="A38" s="21" t="s">
        <v>106</v>
      </c>
      <c r="B38" s="22">
        <v>33.07</v>
      </c>
      <c r="C38" s="23">
        <v>2016</v>
      </c>
    </row>
    <row r="39" spans="1:3" x14ac:dyDescent="0.2">
      <c r="A39" s="21" t="s">
        <v>107</v>
      </c>
      <c r="B39" s="22">
        <v>28.35</v>
      </c>
      <c r="C39" s="23">
        <v>2016</v>
      </c>
    </row>
    <row r="40" spans="1:3" x14ac:dyDescent="0.2">
      <c r="A40" s="21" t="s">
        <v>108</v>
      </c>
      <c r="B40" s="22">
        <v>32.869999999999997</v>
      </c>
      <c r="C40" s="23">
        <v>2016</v>
      </c>
    </row>
    <row r="41" spans="1:3" x14ac:dyDescent="0.2">
      <c r="A41" s="21" t="s">
        <v>109</v>
      </c>
      <c r="B41" s="22">
        <v>38.01</v>
      </c>
      <c r="C41" s="23">
        <v>2016</v>
      </c>
    </row>
    <row r="42" spans="1:3" x14ac:dyDescent="0.2">
      <c r="A42" s="21" t="s">
        <v>110</v>
      </c>
      <c r="B42" s="22">
        <v>42.85</v>
      </c>
      <c r="C42" s="23">
        <v>2016</v>
      </c>
    </row>
    <row r="43" spans="1:3" x14ac:dyDescent="0.2">
      <c r="A43" s="21" t="s">
        <v>111</v>
      </c>
      <c r="B43" s="22">
        <v>43.5</v>
      </c>
      <c r="C43" s="23">
        <v>2016</v>
      </c>
    </row>
    <row r="44" spans="1:3" x14ac:dyDescent="0.2">
      <c r="A44" s="21" t="s">
        <v>112</v>
      </c>
      <c r="B44" s="22">
        <v>50.76</v>
      </c>
      <c r="C44" s="23">
        <v>2017</v>
      </c>
    </row>
    <row r="45" spans="1:3" x14ac:dyDescent="0.2">
      <c r="A45" s="21" t="s">
        <v>113</v>
      </c>
      <c r="B45" s="22">
        <v>43.06</v>
      </c>
      <c r="C45" s="23">
        <v>2017</v>
      </c>
    </row>
    <row r="46" spans="1:3" x14ac:dyDescent="0.2">
      <c r="A46" s="21" t="s">
        <v>114</v>
      </c>
      <c r="B46" s="22">
        <v>34.53</v>
      </c>
      <c r="C46" s="23">
        <v>2017</v>
      </c>
    </row>
    <row r="47" spans="1:3" x14ac:dyDescent="0.2">
      <c r="A47" s="21" t="s">
        <v>115</v>
      </c>
      <c r="B47" s="22">
        <v>35.35</v>
      </c>
      <c r="C47" s="23">
        <v>2017</v>
      </c>
    </row>
    <row r="48" spans="1:3" x14ac:dyDescent="0.2">
      <c r="A48" s="21" t="s">
        <v>116</v>
      </c>
      <c r="B48" s="22">
        <v>35.06</v>
      </c>
      <c r="C48" s="23">
        <v>2017</v>
      </c>
    </row>
    <row r="49" spans="1:3" x14ac:dyDescent="0.2">
      <c r="A49" s="21" t="s">
        <v>117</v>
      </c>
      <c r="B49" s="22">
        <v>33.299999999999997</v>
      </c>
      <c r="C49" s="23">
        <v>2017</v>
      </c>
    </row>
    <row r="50" spans="1:3" x14ac:dyDescent="0.2">
      <c r="A50" s="21" t="s">
        <v>118</v>
      </c>
      <c r="B50" s="22">
        <v>34.46</v>
      </c>
      <c r="C50" s="23">
        <v>2017</v>
      </c>
    </row>
    <row r="51" spans="1:3" x14ac:dyDescent="0.2">
      <c r="A51" s="21" t="s">
        <v>119</v>
      </c>
      <c r="B51" s="22">
        <v>33.06</v>
      </c>
      <c r="C51" s="23">
        <v>2017</v>
      </c>
    </row>
    <row r="52" spans="1:3" x14ac:dyDescent="0.2">
      <c r="A52" s="21" t="s">
        <v>120</v>
      </c>
      <c r="B52" s="22">
        <v>38.75</v>
      </c>
      <c r="C52" s="23">
        <v>2017</v>
      </c>
    </row>
    <row r="53" spans="1:3" x14ac:dyDescent="0.2">
      <c r="A53" s="21" t="s">
        <v>121</v>
      </c>
      <c r="B53" s="22">
        <v>39.880000000000003</v>
      </c>
      <c r="C53" s="23">
        <v>2017</v>
      </c>
    </row>
    <row r="54" spans="1:3" x14ac:dyDescent="0.2">
      <c r="A54" s="21" t="s">
        <v>122</v>
      </c>
      <c r="B54" s="22">
        <v>47.27</v>
      </c>
      <c r="C54" s="23">
        <v>2017</v>
      </c>
    </row>
    <row r="55" spans="1:3" x14ac:dyDescent="0.2">
      <c r="A55" s="21" t="s">
        <v>123</v>
      </c>
      <c r="B55" s="22">
        <v>46.47</v>
      </c>
      <c r="C55" s="23">
        <v>2017</v>
      </c>
    </row>
    <row r="56" spans="1:3" x14ac:dyDescent="0.2">
      <c r="A56" s="21" t="s">
        <v>124</v>
      </c>
      <c r="B56" s="22">
        <v>38.799999999999997</v>
      </c>
      <c r="C56" s="23">
        <v>2018</v>
      </c>
    </row>
    <row r="57" spans="1:3" x14ac:dyDescent="0.2">
      <c r="A57" s="21" t="s">
        <v>125</v>
      </c>
      <c r="B57" s="22">
        <v>44.57</v>
      </c>
      <c r="C57" s="23">
        <v>2018</v>
      </c>
    </row>
    <row r="58" spans="1:3" x14ac:dyDescent="0.2">
      <c r="A58" s="21" t="s">
        <v>126</v>
      </c>
      <c r="B58" s="22">
        <v>51.82</v>
      </c>
      <c r="C58" s="23">
        <v>2018</v>
      </c>
    </row>
    <row r="59" spans="1:3" x14ac:dyDescent="0.2">
      <c r="A59" s="21" t="s">
        <v>127</v>
      </c>
      <c r="B59" s="22">
        <v>39.72</v>
      </c>
      <c r="C59" s="23">
        <v>2018</v>
      </c>
    </row>
    <row r="60" spans="1:3" x14ac:dyDescent="0.2">
      <c r="A60" s="21" t="s">
        <v>128</v>
      </c>
      <c r="B60" s="22">
        <v>47.08</v>
      </c>
      <c r="C60" s="23">
        <v>2018</v>
      </c>
    </row>
    <row r="61" spans="1:3" x14ac:dyDescent="0.2">
      <c r="A61" s="21" t="s">
        <v>129</v>
      </c>
      <c r="B61" s="22">
        <v>51.36</v>
      </c>
      <c r="C61" s="23">
        <v>2018</v>
      </c>
    </row>
    <row r="62" spans="1:3" x14ac:dyDescent="0.2">
      <c r="A62" s="21" t="s">
        <v>130</v>
      </c>
      <c r="B62" s="22">
        <v>53.3</v>
      </c>
      <c r="C62" s="23">
        <v>2018</v>
      </c>
    </row>
    <row r="63" spans="1:3" x14ac:dyDescent="0.2">
      <c r="A63" s="21" t="s">
        <v>131</v>
      </c>
      <c r="B63" s="22">
        <v>58.02</v>
      </c>
      <c r="C63" s="23">
        <v>2018</v>
      </c>
    </row>
    <row r="64" spans="1:3" x14ac:dyDescent="0.2">
      <c r="A64" s="21" t="s">
        <v>132</v>
      </c>
      <c r="B64" s="22">
        <v>63.32</v>
      </c>
      <c r="C64" s="23">
        <v>2018</v>
      </c>
    </row>
    <row r="65" spans="1:3" x14ac:dyDescent="0.2">
      <c r="A65" s="21" t="s">
        <v>133</v>
      </c>
      <c r="B65" s="22">
        <v>59.93</v>
      </c>
      <c r="C65" s="23">
        <v>2018</v>
      </c>
    </row>
    <row r="66" spans="1:3" x14ac:dyDescent="0.2">
      <c r="A66" s="21" t="s">
        <v>134</v>
      </c>
      <c r="B66" s="22">
        <v>62.29</v>
      </c>
      <c r="C66" s="23">
        <v>2018</v>
      </c>
    </row>
    <row r="67" spans="1:3" x14ac:dyDescent="0.2">
      <c r="A67" s="21" t="s">
        <v>135</v>
      </c>
      <c r="B67" s="22">
        <v>59.66</v>
      </c>
      <c r="C67" s="23">
        <v>2018</v>
      </c>
    </row>
    <row r="68" spans="1:3" x14ac:dyDescent="0.2">
      <c r="A68" s="21" t="s">
        <v>136</v>
      </c>
      <c r="B68" s="22">
        <v>58.3</v>
      </c>
      <c r="C68" s="23">
        <v>2019</v>
      </c>
    </row>
    <row r="69" spans="1:3" x14ac:dyDescent="0.2">
      <c r="A69" s="21" t="s">
        <v>137</v>
      </c>
      <c r="B69" s="22">
        <v>46.85</v>
      </c>
      <c r="C69" s="23">
        <v>2019</v>
      </c>
    </row>
    <row r="70" spans="1:3" x14ac:dyDescent="0.2">
      <c r="A70" s="21" t="s">
        <v>138</v>
      </c>
      <c r="B70" s="22">
        <v>40.5</v>
      </c>
      <c r="C70" s="23">
        <v>2019</v>
      </c>
    </row>
    <row r="71" spans="1:3" x14ac:dyDescent="0.2">
      <c r="A71" s="21" t="s">
        <v>139</v>
      </c>
      <c r="B71" s="22">
        <v>40.840000000000003</v>
      </c>
      <c r="C71" s="23">
        <v>2019</v>
      </c>
    </row>
    <row r="72" spans="1:3" x14ac:dyDescent="0.2">
      <c r="A72" s="21" t="s">
        <v>140</v>
      </c>
      <c r="B72" s="22">
        <v>40.19</v>
      </c>
      <c r="C72" s="23">
        <v>2019</v>
      </c>
    </row>
    <row r="73" spans="1:3" x14ac:dyDescent="0.2">
      <c r="A73" s="21" t="s">
        <v>141</v>
      </c>
      <c r="B73" s="22">
        <v>36.229999999999997</v>
      </c>
      <c r="C73" s="23">
        <v>2019</v>
      </c>
    </row>
    <row r="74" spans="1:3" x14ac:dyDescent="0.2">
      <c r="A74" s="21" t="s">
        <v>142</v>
      </c>
      <c r="B74" s="22">
        <v>39.619999999999997</v>
      </c>
      <c r="C74" s="23">
        <v>2019</v>
      </c>
    </row>
    <row r="75" spans="1:3" x14ac:dyDescent="0.2">
      <c r="A75" s="21" t="s">
        <v>143</v>
      </c>
      <c r="B75" s="22">
        <v>37.409999999999997</v>
      </c>
      <c r="C75" s="23">
        <v>2019</v>
      </c>
    </row>
    <row r="76" spans="1:3" x14ac:dyDescent="0.2">
      <c r="A76" s="21" t="s">
        <v>144</v>
      </c>
      <c r="B76" s="22">
        <v>36.58</v>
      </c>
      <c r="C76" s="23">
        <v>2019</v>
      </c>
    </row>
    <row r="77" spans="1:3" x14ac:dyDescent="0.2">
      <c r="A77" s="21" t="s">
        <v>145</v>
      </c>
      <c r="B77" s="22">
        <v>37.96</v>
      </c>
      <c r="C77" s="23">
        <v>2019</v>
      </c>
    </row>
    <row r="78" spans="1:3" x14ac:dyDescent="0.2">
      <c r="A78" s="21" t="s">
        <v>146</v>
      </c>
      <c r="B78" s="22">
        <v>42.71</v>
      </c>
      <c r="C78" s="23">
        <v>2019</v>
      </c>
    </row>
    <row r="79" spans="1:3" x14ac:dyDescent="0.2">
      <c r="A79" s="21" t="s">
        <v>147</v>
      </c>
      <c r="B79" s="22">
        <v>37.4</v>
      </c>
      <c r="C79" s="23">
        <v>2019</v>
      </c>
    </row>
    <row r="80" spans="1:3" x14ac:dyDescent="0.2">
      <c r="A80" s="21" t="s">
        <v>148</v>
      </c>
      <c r="B80" s="22">
        <v>37.07</v>
      </c>
      <c r="C80" s="23">
        <v>2020</v>
      </c>
    </row>
    <row r="81" spans="1:3" x14ac:dyDescent="0.2">
      <c r="A81" s="21" t="s">
        <v>149</v>
      </c>
      <c r="B81" s="22">
        <v>29.55</v>
      </c>
      <c r="C81" s="23">
        <v>2020</v>
      </c>
    </row>
    <row r="82" spans="1:3" x14ac:dyDescent="0.2">
      <c r="A82" s="21" t="s">
        <v>150</v>
      </c>
      <c r="B82" s="22">
        <v>24.75</v>
      </c>
      <c r="C82" s="23">
        <v>2020</v>
      </c>
    </row>
    <row r="83" spans="1:3" x14ac:dyDescent="0.2">
      <c r="A83" s="21" t="s">
        <v>151</v>
      </c>
      <c r="B83" s="22">
        <v>18.97</v>
      </c>
      <c r="C83" s="23">
        <v>2020</v>
      </c>
    </row>
    <row r="84" spans="1:3" x14ac:dyDescent="0.2">
      <c r="A84" s="21" t="s">
        <v>152</v>
      </c>
      <c r="B84" s="22">
        <v>17.670000000000002</v>
      </c>
      <c r="C84" s="23">
        <v>2020</v>
      </c>
    </row>
    <row r="85" spans="1:3" x14ac:dyDescent="0.2">
      <c r="A85" s="21" t="s">
        <v>153</v>
      </c>
      <c r="B85" s="22">
        <v>26.26</v>
      </c>
      <c r="C85" s="23">
        <v>2020</v>
      </c>
    </row>
    <row r="86" spans="1:3" x14ac:dyDescent="0.2">
      <c r="A86" s="21" t="s">
        <v>154</v>
      </c>
      <c r="B86" s="22">
        <v>29.35</v>
      </c>
      <c r="C86" s="23">
        <v>2020</v>
      </c>
    </row>
    <row r="87" spans="1:3" x14ac:dyDescent="0.2">
      <c r="A87" s="21" t="s">
        <v>155</v>
      </c>
      <c r="B87" s="22">
        <v>34.07</v>
      </c>
      <c r="C87" s="23">
        <v>2020</v>
      </c>
    </row>
    <row r="88" spans="1:3" x14ac:dyDescent="0.2">
      <c r="A88" s="21" t="s">
        <v>156</v>
      </c>
      <c r="B88" s="22">
        <v>42.6</v>
      </c>
      <c r="C88" s="23">
        <v>2020</v>
      </c>
    </row>
    <row r="89" spans="1:3" x14ac:dyDescent="0.2">
      <c r="A89" s="21" t="s">
        <v>157</v>
      </c>
      <c r="B89" s="22">
        <v>37.11</v>
      </c>
      <c r="C89" s="23">
        <v>2020</v>
      </c>
    </row>
    <row r="90" spans="1:3" x14ac:dyDescent="0.2">
      <c r="A90" s="21" t="s">
        <v>158</v>
      </c>
      <c r="B90" s="22">
        <v>41.05</v>
      </c>
      <c r="C90" s="23">
        <v>2020</v>
      </c>
    </row>
    <row r="91" spans="1:3" x14ac:dyDescent="0.2">
      <c r="A91" s="21" t="s">
        <v>159</v>
      </c>
      <c r="B91" s="22">
        <v>48.28</v>
      </c>
      <c r="C91" s="23">
        <v>2020</v>
      </c>
    </row>
    <row r="92" spans="1:3" x14ac:dyDescent="0.2">
      <c r="A92" s="21" t="s">
        <v>160</v>
      </c>
      <c r="B92" s="22">
        <v>53.62</v>
      </c>
      <c r="C92" s="23">
        <v>2021</v>
      </c>
    </row>
    <row r="93" spans="1:3" x14ac:dyDescent="0.2">
      <c r="A93" s="21" t="s">
        <v>161</v>
      </c>
      <c r="B93" s="22">
        <v>49.23</v>
      </c>
      <c r="C93" s="23">
        <v>2021</v>
      </c>
    </row>
    <row r="94" spans="1:3" x14ac:dyDescent="0.2">
      <c r="A94" s="21" t="s">
        <v>162</v>
      </c>
      <c r="B94" s="22">
        <v>48.89</v>
      </c>
      <c r="C94" s="23">
        <v>2021</v>
      </c>
    </row>
    <row r="95" spans="1:3" x14ac:dyDescent="0.2">
      <c r="A95" s="21" t="s">
        <v>163</v>
      </c>
      <c r="B95" s="22">
        <v>53.87</v>
      </c>
      <c r="C95" s="23">
        <v>2021</v>
      </c>
    </row>
    <row r="96" spans="1:3" x14ac:dyDescent="0.2">
      <c r="A96" s="21" t="s">
        <v>164</v>
      </c>
      <c r="B96" s="22">
        <v>56.12</v>
      </c>
      <c r="C96" s="23">
        <v>2021</v>
      </c>
    </row>
    <row r="97" spans="1:3" x14ac:dyDescent="0.2">
      <c r="A97" s="21" t="s">
        <v>165</v>
      </c>
      <c r="B97" s="22">
        <v>76.510000000000005</v>
      </c>
      <c r="C97" s="23">
        <v>2021</v>
      </c>
    </row>
    <row r="98" spans="1:3" x14ac:dyDescent="0.2">
      <c r="A98" s="21" t="s">
        <v>166</v>
      </c>
      <c r="B98" s="22">
        <v>82.58</v>
      </c>
      <c r="C98" s="23">
        <v>2021</v>
      </c>
    </row>
    <row r="99" spans="1:3" x14ac:dyDescent="0.2">
      <c r="A99" s="21" t="s">
        <v>167</v>
      </c>
      <c r="B99" s="22">
        <v>86.66</v>
      </c>
      <c r="C99" s="23">
        <v>2021</v>
      </c>
    </row>
    <row r="100" spans="1:3" x14ac:dyDescent="0.2">
      <c r="A100" s="21" t="s">
        <v>168</v>
      </c>
      <c r="B100" s="22">
        <v>136.38999999999999</v>
      </c>
      <c r="C100" s="23">
        <v>2021</v>
      </c>
    </row>
    <row r="101" spans="1:3" x14ac:dyDescent="0.2">
      <c r="A101" s="21" t="s">
        <v>169</v>
      </c>
      <c r="B101" s="22">
        <v>163.81</v>
      </c>
      <c r="C101" s="23">
        <v>2021</v>
      </c>
    </row>
    <row r="102" spans="1:3" x14ac:dyDescent="0.2">
      <c r="A102" s="21" t="s">
        <v>170</v>
      </c>
      <c r="B102" s="22">
        <v>186.3</v>
      </c>
      <c r="C102" s="23">
        <v>2021</v>
      </c>
    </row>
    <row r="103" spans="1:3" x14ac:dyDescent="0.2">
      <c r="A103" s="21" t="s">
        <v>171</v>
      </c>
      <c r="B103" s="22">
        <v>237.8</v>
      </c>
      <c r="C103" s="23">
        <v>2021</v>
      </c>
    </row>
    <row r="104" spans="1:3" x14ac:dyDescent="0.2">
      <c r="A104" s="21" t="s">
        <v>172</v>
      </c>
      <c r="B104" s="22">
        <v>189.24</v>
      </c>
      <c r="C104" s="23">
        <v>2022</v>
      </c>
    </row>
    <row r="105" spans="1:3" x14ac:dyDescent="0.2">
      <c r="A105" s="21" t="s">
        <v>173</v>
      </c>
      <c r="B105" s="22">
        <v>168.29</v>
      </c>
      <c r="C105" s="23">
        <v>2022</v>
      </c>
    </row>
    <row r="106" spans="1:3" x14ac:dyDescent="0.2">
      <c r="A106" s="21" t="s">
        <v>174</v>
      </c>
      <c r="B106" s="22">
        <v>261.02999999999997</v>
      </c>
      <c r="C106" s="23">
        <v>2022</v>
      </c>
    </row>
    <row r="107" spans="1:3" x14ac:dyDescent="0.2">
      <c r="A107" s="21" t="s">
        <v>175</v>
      </c>
      <c r="B107" s="22">
        <v>195.31</v>
      </c>
      <c r="C107" s="23">
        <v>2022</v>
      </c>
    </row>
    <row r="108" spans="1:3" x14ac:dyDescent="0.2">
      <c r="A108" s="21" t="s">
        <v>176</v>
      </c>
      <c r="B108" s="22">
        <v>181.4</v>
      </c>
      <c r="C108" s="23">
        <v>2022</v>
      </c>
    </row>
    <row r="109" spans="1:3" x14ac:dyDescent="0.2">
      <c r="A109" s="21" t="s">
        <v>177</v>
      </c>
      <c r="B109" s="22">
        <v>210.7</v>
      </c>
      <c r="C109" s="23">
        <v>2022</v>
      </c>
    </row>
    <row r="110" spans="1:3" x14ac:dyDescent="0.2">
      <c r="A110" s="21" t="s">
        <v>178</v>
      </c>
      <c r="B110" s="22">
        <v>306.86</v>
      </c>
      <c r="C110" s="23">
        <v>2022</v>
      </c>
    </row>
    <row r="111" spans="1:3" x14ac:dyDescent="0.2">
      <c r="A111" s="21" t="s">
        <v>179</v>
      </c>
      <c r="B111" s="22">
        <v>447.25</v>
      </c>
      <c r="C111" s="23">
        <v>2022</v>
      </c>
    </row>
    <row r="112" spans="1:3" x14ac:dyDescent="0.2">
      <c r="A112" s="21" t="s">
        <v>180</v>
      </c>
      <c r="B112" s="22">
        <v>340.89</v>
      </c>
      <c r="C112" s="23">
        <v>2022</v>
      </c>
    </row>
    <row r="113" spans="1:3" x14ac:dyDescent="0.2">
      <c r="A113" s="21" t="s">
        <v>181</v>
      </c>
      <c r="B113" s="22">
        <v>155.51</v>
      </c>
      <c r="C113" s="23">
        <v>2022</v>
      </c>
    </row>
    <row r="114" spans="1:3" x14ac:dyDescent="0.2">
      <c r="A114" s="21" t="s">
        <v>182</v>
      </c>
      <c r="B114" s="22">
        <v>179.48</v>
      </c>
      <c r="C114" s="23">
        <v>2022</v>
      </c>
    </row>
    <row r="115" spans="1:3" x14ac:dyDescent="0.2">
      <c r="A115" s="21" t="s">
        <v>183</v>
      </c>
      <c r="B115" s="22">
        <v>258.49</v>
      </c>
      <c r="C115" s="23">
        <v>2022</v>
      </c>
    </row>
    <row r="116" spans="1:3" x14ac:dyDescent="0.2">
      <c r="A116" s="21" t="s">
        <v>184</v>
      </c>
      <c r="B116" s="22">
        <v>126.13</v>
      </c>
      <c r="C116" s="23">
        <v>2023</v>
      </c>
    </row>
    <row r="117" spans="1:3" x14ac:dyDescent="0.2">
      <c r="A117" s="21" t="s">
        <v>185</v>
      </c>
      <c r="B117" s="22">
        <v>134.91</v>
      </c>
      <c r="C117" s="23">
        <v>2023</v>
      </c>
    </row>
    <row r="118" spans="1:3" x14ac:dyDescent="0.2">
      <c r="A118" s="21" t="s">
        <v>186</v>
      </c>
      <c r="B118" s="22">
        <v>104.44</v>
      </c>
      <c r="C118" s="23">
        <v>2023</v>
      </c>
    </row>
    <row r="119" spans="1:3" x14ac:dyDescent="0.2">
      <c r="A119" s="21" t="s">
        <v>187</v>
      </c>
      <c r="B119" s="22">
        <v>98.71</v>
      </c>
      <c r="C119" s="23">
        <v>2023</v>
      </c>
    </row>
    <row r="120" spans="1:3" x14ac:dyDescent="0.2">
      <c r="A120" s="21" t="s">
        <v>188</v>
      </c>
      <c r="B120" s="22">
        <v>77.88</v>
      </c>
      <c r="C120" s="23">
        <v>2023</v>
      </c>
    </row>
    <row r="121" spans="1:3" x14ac:dyDescent="0.2">
      <c r="A121" s="21" t="s">
        <v>189</v>
      </c>
      <c r="B121" s="22">
        <v>92.04</v>
      </c>
      <c r="C121" s="23">
        <v>2023</v>
      </c>
    </row>
    <row r="122" spans="1:3" x14ac:dyDescent="0.2">
      <c r="A122" s="21" t="s">
        <v>190</v>
      </c>
      <c r="B122" s="22">
        <v>71.69</v>
      </c>
      <c r="C122" s="23">
        <v>2023</v>
      </c>
    </row>
    <row r="123" spans="1:3" x14ac:dyDescent="0.2">
      <c r="A123" s="21" t="s">
        <v>191</v>
      </c>
      <c r="B123" s="22">
        <v>91.42</v>
      </c>
      <c r="C123" s="23">
        <v>2023</v>
      </c>
    </row>
    <row r="124" spans="1:3" x14ac:dyDescent="0.2">
      <c r="A124" s="21" t="s">
        <v>192</v>
      </c>
      <c r="B124" s="22">
        <v>98.7</v>
      </c>
      <c r="C124" s="23">
        <v>2023</v>
      </c>
    </row>
    <row r="125" spans="1:3" x14ac:dyDescent="0.2">
      <c r="A125" s="21" t="s">
        <v>193</v>
      </c>
      <c r="B125" s="22">
        <v>90.19</v>
      </c>
      <c r="C125" s="23">
        <v>2023</v>
      </c>
    </row>
    <row r="126" spans="1:3" x14ac:dyDescent="0.2">
      <c r="A126" s="21" t="s">
        <v>194</v>
      </c>
      <c r="B126" s="22">
        <v>94.46</v>
      </c>
      <c r="C126" s="23">
        <v>2023</v>
      </c>
    </row>
    <row r="127" spans="1:3" x14ac:dyDescent="0.2">
      <c r="A127" s="21" t="s">
        <v>195</v>
      </c>
      <c r="B127" s="22">
        <v>73.040000000000006</v>
      </c>
      <c r="C127" s="23">
        <v>2023</v>
      </c>
    </row>
    <row r="128" spans="1:3" x14ac:dyDescent="0.2">
      <c r="A128" s="21" t="s">
        <v>196</v>
      </c>
      <c r="B128" s="22">
        <v>78.430000000000007</v>
      </c>
      <c r="C128" s="23">
        <v>2024</v>
      </c>
    </row>
    <row r="129" spans="1:3" x14ac:dyDescent="0.2">
      <c r="A129" s="21" t="s">
        <v>197</v>
      </c>
      <c r="B129" s="22">
        <v>63.91</v>
      </c>
      <c r="C129" s="23">
        <v>2024</v>
      </c>
    </row>
    <row r="130" spans="1:3" x14ac:dyDescent="0.2">
      <c r="A130" s="21" t="s">
        <v>198</v>
      </c>
      <c r="B130" s="22">
        <v>63.38</v>
      </c>
      <c r="C130" s="23">
        <v>2024</v>
      </c>
    </row>
    <row r="131" spans="1:3" x14ac:dyDescent="0.2">
      <c r="A131" s="21" t="s">
        <v>199</v>
      </c>
      <c r="B131" s="22">
        <v>58.42</v>
      </c>
      <c r="C131" s="23">
        <v>2024</v>
      </c>
    </row>
    <row r="132" spans="1:3" x14ac:dyDescent="0.2">
      <c r="A132" s="21" t="s">
        <v>200</v>
      </c>
      <c r="B132" s="22">
        <v>65.7</v>
      </c>
      <c r="C132" s="23">
        <v>2024</v>
      </c>
    </row>
    <row r="133" spans="1:3" x14ac:dyDescent="0.2">
      <c r="A133" s="21" t="s">
        <v>201</v>
      </c>
      <c r="B133" s="22">
        <v>68.06</v>
      </c>
      <c r="C133" s="23">
        <v>2024</v>
      </c>
    </row>
    <row r="134" spans="1:3" x14ac:dyDescent="0.2">
      <c r="A134" s="21" t="s">
        <v>202</v>
      </c>
      <c r="B134" s="22">
        <v>65.040000000000006</v>
      </c>
      <c r="C134" s="23">
        <v>2024</v>
      </c>
    </row>
    <row r="135" spans="1:3" x14ac:dyDescent="0.2">
      <c r="A135" s="21" t="s">
        <v>203</v>
      </c>
      <c r="B135" s="22">
        <v>77.099999999999994</v>
      </c>
      <c r="C135" s="23">
        <v>2024</v>
      </c>
    </row>
    <row r="136" spans="1:3" x14ac:dyDescent="0.2">
      <c r="A136" s="21" t="s">
        <v>204</v>
      </c>
      <c r="B136" s="22">
        <v>77.62</v>
      </c>
      <c r="C136" s="23">
        <v>2024</v>
      </c>
    </row>
    <row r="137" spans="1:3" x14ac:dyDescent="0.2">
      <c r="A137" s="21" t="s">
        <v>205</v>
      </c>
      <c r="B137" s="22">
        <v>87.8</v>
      </c>
      <c r="C137" s="23">
        <v>2024</v>
      </c>
    </row>
    <row r="138" spans="1:3" x14ac:dyDescent="0.2">
      <c r="A138" s="21" t="s">
        <v>206</v>
      </c>
      <c r="B138" s="22">
        <v>113.47</v>
      </c>
      <c r="C138" s="23">
        <v>2024</v>
      </c>
    </row>
    <row r="139" spans="1:3" x14ac:dyDescent="0.2">
      <c r="A139" s="21" t="s">
        <v>207</v>
      </c>
      <c r="B139" s="22">
        <v>107.94</v>
      </c>
      <c r="C139" s="23">
        <v>2024</v>
      </c>
    </row>
    <row r="140" spans="1:3" x14ac:dyDescent="0.2">
      <c r="A140" s="21" t="s">
        <v>208</v>
      </c>
      <c r="B140" s="22">
        <v>116.82</v>
      </c>
      <c r="C140" s="23">
        <v>2025</v>
      </c>
    </row>
    <row r="141" spans="1:3" x14ac:dyDescent="0.2">
      <c r="A141" s="21" t="s">
        <v>209</v>
      </c>
      <c r="B141" s="22">
        <v>125.81</v>
      </c>
      <c r="C141" s="23">
        <v>2025</v>
      </c>
    </row>
    <row r="142" spans="1:3" x14ac:dyDescent="0.2">
      <c r="A142" s="21" t="s">
        <v>210</v>
      </c>
      <c r="B142" s="22">
        <v>91.69</v>
      </c>
      <c r="C142" s="23">
        <v>2025</v>
      </c>
    </row>
    <row r="143" spans="1:3" x14ac:dyDescent="0.2">
      <c r="A143" s="21" t="s">
        <v>211</v>
      </c>
      <c r="B143" s="22">
        <v>74.83</v>
      </c>
      <c r="C143" s="23">
        <v>2025</v>
      </c>
    </row>
    <row r="144" spans="1:3" x14ac:dyDescent="0.2">
      <c r="A144" s="21" t="s">
        <v>212</v>
      </c>
      <c r="B144" s="22">
        <v>64.209999999999994</v>
      </c>
      <c r="C144" s="23">
        <v>2025</v>
      </c>
    </row>
    <row r="145" spans="1:3" x14ac:dyDescent="0.2">
      <c r="A145" s="21" t="s">
        <v>213</v>
      </c>
      <c r="B145" s="22">
        <v>67.7</v>
      </c>
      <c r="C145" s="23">
        <v>2025</v>
      </c>
    </row>
    <row r="146" spans="1:3" x14ac:dyDescent="0.2">
      <c r="A146" s="21" t="s">
        <v>214</v>
      </c>
      <c r="B146" s="22">
        <v>87.53</v>
      </c>
      <c r="C146" s="23">
        <v>2025</v>
      </c>
    </row>
    <row r="147" spans="1:3" x14ac:dyDescent="0.2">
      <c r="A147" s="21" t="s">
        <v>215</v>
      </c>
      <c r="B147" s="22">
        <v>74.52</v>
      </c>
      <c r="C147" s="23">
        <v>2025</v>
      </c>
    </row>
    <row r="148" spans="1:3" x14ac:dyDescent="0.2">
      <c r="A148" s="21" t="s">
        <v>216</v>
      </c>
      <c r="B148" s="22">
        <v>83.75</v>
      </c>
      <c r="C148" s="23">
        <v>2025</v>
      </c>
    </row>
    <row r="149" spans="1:3" x14ac:dyDescent="0.2">
      <c r="A149" s="21" t="s">
        <v>217</v>
      </c>
      <c r="B149" s="22">
        <v>82.29</v>
      </c>
      <c r="C149" s="23">
        <v>2025</v>
      </c>
    </row>
    <row r="150" spans="1:3" x14ac:dyDescent="0.2">
      <c r="A150" s="21" t="s">
        <v>218</v>
      </c>
      <c r="B150" s="22">
        <v>93.78</v>
      </c>
      <c r="C150" s="23">
        <v>2025</v>
      </c>
    </row>
    <row r="151" spans="1:3" x14ac:dyDescent="0.2">
      <c r="A151" s="21" t="s">
        <v>219</v>
      </c>
      <c r="B151" s="22">
        <v>87.67</v>
      </c>
      <c r="C151" s="23">
        <v>2025</v>
      </c>
    </row>
    <row r="152" spans="1:3" x14ac:dyDescent="0.2">
      <c r="A152" s="21" t="s">
        <v>220</v>
      </c>
      <c r="B152" s="22">
        <v>107.14</v>
      </c>
      <c r="C152" s="23">
        <v>2026</v>
      </c>
    </row>
    <row r="153" spans="1:3" x14ac:dyDescent="0.2">
      <c r="A153" s="21" t="s">
        <v>221</v>
      </c>
      <c r="B153" s="22">
        <v>96.08</v>
      </c>
      <c r="C153" s="23">
        <v>2026</v>
      </c>
    </row>
    <row r="154" spans="1:3" x14ac:dyDescent="0.2">
      <c r="A154" s="21" t="s">
        <v>222</v>
      </c>
      <c r="B154" s="22">
        <v>98.98</v>
      </c>
      <c r="C154" s="23">
        <v>2026</v>
      </c>
    </row>
    <row r="155" spans="1:3" x14ac:dyDescent="0.2">
      <c r="A155" s="21" t="s">
        <v>223</v>
      </c>
      <c r="B155" s="22">
        <v>84.39</v>
      </c>
      <c r="C155" s="23">
        <v>2026</v>
      </c>
    </row>
    <row r="156" spans="1:3" x14ac:dyDescent="0.2">
      <c r="A156" s="21" t="s">
        <v>224</v>
      </c>
      <c r="B156" s="22">
        <v>94.85</v>
      </c>
      <c r="C156" s="23">
        <v>2026</v>
      </c>
    </row>
    <row r="157" spans="1:3" x14ac:dyDescent="0.2">
      <c r="A157" s="21" t="s">
        <v>225</v>
      </c>
      <c r="B157" s="22">
        <v>107.02</v>
      </c>
      <c r="C157" s="23">
        <v>2026</v>
      </c>
    </row>
    <row r="158" spans="1:3" x14ac:dyDescent="0.2">
      <c r="A158" s="21" t="s">
        <v>226</v>
      </c>
      <c r="B158" s="22">
        <v>87.02</v>
      </c>
      <c r="C158" s="23">
        <v>2026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40"/>
  <sheetViews>
    <sheetView showGridLines="0" zoomScaleNormal="100" workbookViewId="0"/>
  </sheetViews>
  <sheetFormatPr baseColWidth="10" defaultColWidth="8.6640625" defaultRowHeight="15" x14ac:dyDescent="0.2"/>
  <cols>
    <col min="1" max="1" width="30" customWidth="1"/>
    <col min="2" max="2" width="10.1640625" bestFit="1" customWidth="1"/>
    <col min="3" max="3" width="13" customWidth="1"/>
    <col min="4" max="28" width="12" customWidth="1"/>
  </cols>
  <sheetData>
    <row r="1" spans="1:28" ht="18" x14ac:dyDescent="0.2">
      <c r="A1" s="18" t="s">
        <v>288</v>
      </c>
    </row>
    <row r="2" spans="1:28" x14ac:dyDescent="0.2">
      <c r="A2" s="6"/>
    </row>
    <row r="4" spans="1:28" x14ac:dyDescent="0.2">
      <c r="A4" s="24" t="s">
        <v>227</v>
      </c>
      <c r="C4" s="25">
        <f>Assumptions!$B$35-1</f>
        <v>2020</v>
      </c>
      <c r="D4" s="25">
        <f>Assumptions!$B$35+0</f>
        <v>2021</v>
      </c>
      <c r="E4" s="25">
        <f>Assumptions!$B$35+1</f>
        <v>2022</v>
      </c>
      <c r="F4" s="25">
        <f>Assumptions!$B$35+2</f>
        <v>2023</v>
      </c>
      <c r="G4" s="25">
        <f>Assumptions!$B$35+3</f>
        <v>2024</v>
      </c>
      <c r="H4" s="25">
        <f>Assumptions!$B$35+4</f>
        <v>2025</v>
      </c>
      <c r="I4" s="25">
        <f>Assumptions!$B$35+5</f>
        <v>2026</v>
      </c>
      <c r="J4" s="25">
        <f>Assumptions!$B$35+6</f>
        <v>2027</v>
      </c>
      <c r="K4" s="25">
        <f>Assumptions!$B$35+7</f>
        <v>2028</v>
      </c>
      <c r="L4" s="25">
        <f>Assumptions!$B$35+8</f>
        <v>2029</v>
      </c>
      <c r="M4" s="25">
        <f>Assumptions!$B$35+9</f>
        <v>2030</v>
      </c>
      <c r="N4" s="25">
        <f>Assumptions!$B$35+10</f>
        <v>2031</v>
      </c>
      <c r="O4" s="25">
        <f>Assumptions!$B$35+11</f>
        <v>2032</v>
      </c>
      <c r="P4" s="25">
        <f>Assumptions!$B$35+12</f>
        <v>2033</v>
      </c>
      <c r="Q4" s="25">
        <f>Assumptions!$B$35+13</f>
        <v>2034</v>
      </c>
      <c r="R4" s="25">
        <f>Assumptions!$B$35+14</f>
        <v>2035</v>
      </c>
      <c r="S4" s="25">
        <f>Assumptions!$B$35+15</f>
        <v>2036</v>
      </c>
      <c r="T4" s="25">
        <f>Assumptions!$B$35+16</f>
        <v>2037</v>
      </c>
      <c r="U4" s="25">
        <f>Assumptions!$B$35+17</f>
        <v>2038</v>
      </c>
      <c r="V4" s="25">
        <f>Assumptions!$B$35+18</f>
        <v>2039</v>
      </c>
      <c r="W4" s="25">
        <f>Assumptions!$B$35+19</f>
        <v>2040</v>
      </c>
      <c r="X4" s="25">
        <f>Assumptions!$B$35+20</f>
        <v>2041</v>
      </c>
      <c r="Y4" s="25">
        <f>Assumptions!$B$35+21</f>
        <v>2042</v>
      </c>
      <c r="Z4" s="25">
        <f>Assumptions!$B$35+22</f>
        <v>2043</v>
      </c>
      <c r="AA4" s="25">
        <f>Assumptions!$B$35+23</f>
        <v>2044</v>
      </c>
      <c r="AB4" s="25">
        <f>Assumptions!$B$35+24</f>
        <v>2045</v>
      </c>
    </row>
    <row r="5" spans="1:28" x14ac:dyDescent="0.2">
      <c r="A5" s="24" t="s">
        <v>228</v>
      </c>
      <c r="C5" s="26">
        <v>0</v>
      </c>
      <c r="D5" s="26">
        <v>1</v>
      </c>
      <c r="E5" s="26">
        <v>2</v>
      </c>
      <c r="F5" s="26">
        <v>3</v>
      </c>
      <c r="G5" s="26">
        <v>4</v>
      </c>
      <c r="H5" s="26">
        <v>5</v>
      </c>
      <c r="I5" s="26">
        <v>6</v>
      </c>
      <c r="J5" s="26">
        <v>7</v>
      </c>
      <c r="K5" s="26">
        <v>8</v>
      </c>
      <c r="L5" s="26">
        <v>9</v>
      </c>
      <c r="M5" s="26">
        <v>10</v>
      </c>
      <c r="N5" s="26">
        <v>11</v>
      </c>
      <c r="O5" s="26">
        <v>12</v>
      </c>
      <c r="P5" s="26">
        <v>13</v>
      </c>
      <c r="Q5" s="26">
        <v>14</v>
      </c>
      <c r="R5" s="26">
        <v>15</v>
      </c>
      <c r="S5" s="26">
        <v>16</v>
      </c>
      <c r="T5" s="26">
        <v>17</v>
      </c>
      <c r="U5" s="26">
        <v>18</v>
      </c>
      <c r="V5" s="26">
        <v>19</v>
      </c>
      <c r="W5" s="26">
        <v>20</v>
      </c>
      <c r="X5" s="26">
        <v>21</v>
      </c>
      <c r="Y5" s="26">
        <v>22</v>
      </c>
      <c r="Z5" s="26">
        <v>23</v>
      </c>
      <c r="AA5" s="26">
        <v>24</v>
      </c>
      <c r="AB5" s="26">
        <v>25</v>
      </c>
    </row>
    <row r="6" spans="1:28" x14ac:dyDescent="0.2">
      <c r="A6" s="24" t="s">
        <v>229</v>
      </c>
      <c r="C6" s="26">
        <v>0</v>
      </c>
      <c r="D6" s="26">
        <f>IF(D5&lt;=Assumptions!$B$24,1,0)</f>
        <v>1</v>
      </c>
      <c r="E6" s="26">
        <f>IF(E5&lt;=Assumptions!$B$24,1,0)</f>
        <v>1</v>
      </c>
      <c r="F6" s="26">
        <f>IF(F5&lt;=Assumptions!$B$24,1,0)</f>
        <v>1</v>
      </c>
      <c r="G6" s="26">
        <f>IF(G5&lt;=Assumptions!$B$24,1,0)</f>
        <v>1</v>
      </c>
      <c r="H6" s="26">
        <f>IF(H5&lt;=Assumptions!$B$24,1,0)</f>
        <v>1</v>
      </c>
      <c r="I6" s="26">
        <f>IF(I5&lt;=Assumptions!$B$24,1,0)</f>
        <v>1</v>
      </c>
      <c r="J6" s="26">
        <f>IF(J5&lt;=Assumptions!$B$24,1,0)</f>
        <v>1</v>
      </c>
      <c r="K6" s="26">
        <f>IF(K5&lt;=Assumptions!$B$24,1,0)</f>
        <v>1</v>
      </c>
      <c r="L6" s="26">
        <f>IF(L5&lt;=Assumptions!$B$24,1,0)</f>
        <v>1</v>
      </c>
      <c r="M6" s="26">
        <f>IF(M5&lt;=Assumptions!$B$24,1,0)</f>
        <v>1</v>
      </c>
      <c r="N6" s="26">
        <f>IF(N5&lt;=Assumptions!$B$24,1,0)</f>
        <v>1</v>
      </c>
      <c r="O6" s="26">
        <f>IF(O5&lt;=Assumptions!$B$24,1,0)</f>
        <v>1</v>
      </c>
      <c r="P6" s="26">
        <f>IF(P5&lt;=Assumptions!$B$24,1,0)</f>
        <v>1</v>
      </c>
      <c r="Q6" s="26">
        <f>IF(Q5&lt;=Assumptions!$B$24,1,0)</f>
        <v>1</v>
      </c>
      <c r="R6" s="26">
        <f>IF(R5&lt;=Assumptions!$B$24,1,0)</f>
        <v>1</v>
      </c>
      <c r="S6" s="26">
        <f>IF(S5&lt;=Assumptions!$B$24,1,0)</f>
        <v>0</v>
      </c>
      <c r="T6" s="26">
        <f>IF(T5&lt;=Assumptions!$B$24,1,0)</f>
        <v>0</v>
      </c>
      <c r="U6" s="26">
        <f>IF(U5&lt;=Assumptions!$B$24,1,0)</f>
        <v>0</v>
      </c>
      <c r="V6" s="26">
        <f>IF(V5&lt;=Assumptions!$B$24,1,0)</f>
        <v>0</v>
      </c>
      <c r="W6" s="26">
        <f>IF(W5&lt;=Assumptions!$B$24,1,0)</f>
        <v>0</v>
      </c>
      <c r="X6" s="26">
        <f>IF(X5&lt;=Assumptions!$B$24,1,0)</f>
        <v>0</v>
      </c>
      <c r="Y6" s="26">
        <f>IF(Y5&lt;=Assumptions!$B$24,1,0)</f>
        <v>0</v>
      </c>
      <c r="Z6" s="26">
        <f>IF(Z5&lt;=Assumptions!$B$24,1,0)</f>
        <v>0</v>
      </c>
      <c r="AA6" s="26">
        <f>IF(AA5&lt;=Assumptions!$B$24,1,0)</f>
        <v>0</v>
      </c>
      <c r="AB6" s="26">
        <f>IF(AB5&lt;=Assumptions!$B$24,1,0)</f>
        <v>0</v>
      </c>
    </row>
    <row r="8" spans="1:28" x14ac:dyDescent="0.2">
      <c r="A8" s="8" t="s">
        <v>230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x14ac:dyDescent="0.2">
      <c r="A9" s="21" t="s">
        <v>231</v>
      </c>
      <c r="C9" s="28">
        <v>0</v>
      </c>
      <c r="D9" s="28">
        <f>(1-Assumptions!$B$10)^(D5-1)</f>
        <v>1</v>
      </c>
      <c r="E9" s="28">
        <f>(1-Assumptions!$B$10)^(E5-1)</f>
        <v>1</v>
      </c>
      <c r="F9" s="28">
        <f>(1-Assumptions!$B$10)^(F5-1)</f>
        <v>1</v>
      </c>
      <c r="G9" s="28">
        <f>(1-Assumptions!$B$10)^(G5-1)</f>
        <v>1</v>
      </c>
      <c r="H9" s="28">
        <f>(1-Assumptions!$B$10)^(H5-1)</f>
        <v>1</v>
      </c>
      <c r="I9" s="28">
        <f>(1-Assumptions!$B$10)^(I5-1)</f>
        <v>1</v>
      </c>
      <c r="J9" s="28">
        <f>(1-Assumptions!$B$10)^(J5-1)</f>
        <v>1</v>
      </c>
      <c r="K9" s="28">
        <f>(1-Assumptions!$B$10)^(K5-1)</f>
        <v>1</v>
      </c>
      <c r="L9" s="28">
        <f>(1-Assumptions!$B$10)^(L5-1)</f>
        <v>1</v>
      </c>
      <c r="M9" s="28">
        <f>(1-Assumptions!$B$10)^(M5-1)</f>
        <v>1</v>
      </c>
      <c r="N9" s="28">
        <f>(1-Assumptions!$B$10)^(N5-1)</f>
        <v>1</v>
      </c>
      <c r="O9" s="28">
        <f>(1-Assumptions!$B$10)^(O5-1)</f>
        <v>1</v>
      </c>
      <c r="P9" s="28">
        <f>(1-Assumptions!$B$10)^(P5-1)</f>
        <v>1</v>
      </c>
      <c r="Q9" s="28">
        <f>(1-Assumptions!$B$10)^(Q5-1)</f>
        <v>1</v>
      </c>
      <c r="R9" s="28">
        <f>(1-Assumptions!$B$10)^(R5-1)</f>
        <v>1</v>
      </c>
      <c r="S9" s="28">
        <f>(1-Assumptions!$B$10)^(S5-1)</f>
        <v>1</v>
      </c>
      <c r="T9" s="28">
        <f>(1-Assumptions!$B$10)^(T5-1)</f>
        <v>1</v>
      </c>
      <c r="U9" s="28">
        <f>(1-Assumptions!$B$10)^(U5-1)</f>
        <v>1</v>
      </c>
      <c r="V9" s="28">
        <f>(1-Assumptions!$B$10)^(V5-1)</f>
        <v>1</v>
      </c>
      <c r="W9" s="28">
        <f>(1-Assumptions!$B$10)^(W5-1)</f>
        <v>1</v>
      </c>
      <c r="X9" s="28">
        <f>(1-Assumptions!$B$10)^(X5-1)</f>
        <v>1</v>
      </c>
      <c r="Y9" s="28">
        <f>(1-Assumptions!$B$10)^(Y5-1)</f>
        <v>1</v>
      </c>
      <c r="Z9" s="28">
        <f>(1-Assumptions!$B$10)^(Z5-1)</f>
        <v>1</v>
      </c>
      <c r="AA9" s="28">
        <f>(1-Assumptions!$B$10)^(AA5-1)</f>
        <v>1</v>
      </c>
      <c r="AB9" s="28">
        <f>(1-Assumptions!$B$10)^(AB5-1)</f>
        <v>1</v>
      </c>
    </row>
    <row r="10" spans="1:28" x14ac:dyDescent="0.2">
      <c r="A10" s="21" t="s">
        <v>232</v>
      </c>
      <c r="C10" s="29">
        <v>0</v>
      </c>
      <c r="D10" s="29">
        <f>Assumptions!$B$9*D9</f>
        <v>3293760</v>
      </c>
      <c r="E10" s="29">
        <f>Assumptions!$B$9*E9</f>
        <v>3293760</v>
      </c>
      <c r="F10" s="29">
        <f>Assumptions!$B$9*F9</f>
        <v>3293760</v>
      </c>
      <c r="G10" s="29">
        <f>Assumptions!$B$9*G9</f>
        <v>3293760</v>
      </c>
      <c r="H10" s="29">
        <f>Assumptions!$B$9*H9</f>
        <v>3293760</v>
      </c>
      <c r="I10" s="29">
        <f>Assumptions!$B$9*I9</f>
        <v>3293760</v>
      </c>
      <c r="J10" s="29">
        <f>Assumptions!$B$9*J9</f>
        <v>3293760</v>
      </c>
      <c r="K10" s="29">
        <f>Assumptions!$B$9*K9</f>
        <v>3293760</v>
      </c>
      <c r="L10" s="29">
        <f>Assumptions!$B$9*L9</f>
        <v>3293760</v>
      </c>
      <c r="M10" s="29">
        <f>Assumptions!$B$9*M9</f>
        <v>3293760</v>
      </c>
      <c r="N10" s="29">
        <f>Assumptions!$B$9*N9</f>
        <v>3293760</v>
      </c>
      <c r="O10" s="29">
        <f>Assumptions!$B$9*O9</f>
        <v>3293760</v>
      </c>
      <c r="P10" s="29">
        <f>Assumptions!$B$9*P9</f>
        <v>3293760</v>
      </c>
      <c r="Q10" s="29">
        <f>Assumptions!$B$9*Q9</f>
        <v>3293760</v>
      </c>
      <c r="R10" s="29">
        <f>Assumptions!$B$9*R9</f>
        <v>3293760</v>
      </c>
      <c r="S10" s="29">
        <f>Assumptions!$B$9*S9</f>
        <v>3293760</v>
      </c>
      <c r="T10" s="29">
        <f>Assumptions!$B$9*T9</f>
        <v>3293760</v>
      </c>
      <c r="U10" s="29">
        <f>Assumptions!$B$9*U9</f>
        <v>3293760</v>
      </c>
      <c r="V10" s="29">
        <f>Assumptions!$B$9*V9</f>
        <v>3293760</v>
      </c>
      <c r="W10" s="29">
        <f>Assumptions!$B$9*W9</f>
        <v>3293760</v>
      </c>
      <c r="X10" s="29">
        <f>Assumptions!$B$9*X9</f>
        <v>3293760</v>
      </c>
      <c r="Y10" s="29">
        <f>Assumptions!$B$9*Y9</f>
        <v>3293760</v>
      </c>
      <c r="Z10" s="29">
        <f>Assumptions!$B$9*Z9</f>
        <v>3293760</v>
      </c>
      <c r="AA10" s="29">
        <f>Assumptions!$B$9*AA9</f>
        <v>3293760</v>
      </c>
      <c r="AB10" s="29">
        <f>Assumptions!$B$9*AB9</f>
        <v>3293760</v>
      </c>
    </row>
    <row r="11" spans="1:28" x14ac:dyDescent="0.2">
      <c r="A11" s="8" t="s">
        <v>233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x14ac:dyDescent="0.2">
      <c r="A12" s="21" t="s">
        <v>234</v>
      </c>
      <c r="C12" s="30">
        <v>0</v>
      </c>
      <c r="D12" s="30">
        <f>Assumptions!$B$25</f>
        <v>30</v>
      </c>
      <c r="E12" s="30">
        <f>Assumptions!$B$25</f>
        <v>30</v>
      </c>
      <c r="F12" s="30">
        <f>Assumptions!$B$25</f>
        <v>30</v>
      </c>
      <c r="G12" s="30">
        <f>Assumptions!$B$25</f>
        <v>30</v>
      </c>
      <c r="H12" s="30">
        <f>Assumptions!$B$25</f>
        <v>30</v>
      </c>
      <c r="I12" s="30">
        <f>Assumptions!$B$25</f>
        <v>30</v>
      </c>
      <c r="J12" s="30">
        <f>Assumptions!$B$25</f>
        <v>30</v>
      </c>
      <c r="K12" s="30">
        <f>Assumptions!$B$25</f>
        <v>30</v>
      </c>
      <c r="L12" s="30">
        <f>Assumptions!$B$25</f>
        <v>30</v>
      </c>
      <c r="M12" s="30">
        <f>Assumptions!$B$25</f>
        <v>30</v>
      </c>
      <c r="N12" s="30">
        <f>Assumptions!$B$25</f>
        <v>30</v>
      </c>
      <c r="O12" s="30">
        <f>Assumptions!$B$25</f>
        <v>30</v>
      </c>
      <c r="P12" s="30">
        <f>Assumptions!$B$25</f>
        <v>30</v>
      </c>
      <c r="Q12" s="30">
        <f>Assumptions!$B$25</f>
        <v>30</v>
      </c>
      <c r="R12" s="30">
        <f>Assumptions!$B$25</f>
        <v>30</v>
      </c>
      <c r="S12" s="30">
        <f>Assumptions!$B$25</f>
        <v>30</v>
      </c>
      <c r="T12" s="30">
        <f>Assumptions!$B$25</f>
        <v>30</v>
      </c>
      <c r="U12" s="30">
        <f>Assumptions!$B$25</f>
        <v>30</v>
      </c>
      <c r="V12" s="30">
        <f>Assumptions!$B$25</f>
        <v>30</v>
      </c>
      <c r="W12" s="30">
        <f>Assumptions!$B$25</f>
        <v>30</v>
      </c>
      <c r="X12" s="30">
        <f>Assumptions!$B$25</f>
        <v>30</v>
      </c>
      <c r="Y12" s="30">
        <f>Assumptions!$B$25</f>
        <v>30</v>
      </c>
      <c r="Z12" s="30">
        <f>Assumptions!$B$25</f>
        <v>30</v>
      </c>
      <c r="AA12" s="30">
        <f>Assumptions!$B$25</f>
        <v>30</v>
      </c>
      <c r="AB12" s="30">
        <f>Assumptions!$B$25</f>
        <v>30</v>
      </c>
    </row>
    <row r="13" spans="1:28" x14ac:dyDescent="0.2">
      <c r="A13" s="21" t="s">
        <v>235</v>
      </c>
      <c r="C13" s="30">
        <v>0</v>
      </c>
      <c r="D13" s="30">
        <f>IF(D6=1,MAX(0,Assumptions!$B$22-MAX(D12,Assumptions!$B$23)),0)</f>
        <v>42.7</v>
      </c>
      <c r="E13" s="30">
        <f>IF(E6=1,MAX(0,Assumptions!$B$22-MAX(E12,Assumptions!$B$23)),0)</f>
        <v>42.7</v>
      </c>
      <c r="F13" s="30">
        <f>IF(F6=1,MAX(0,Assumptions!$B$22-MAX(F12,Assumptions!$B$23)),0)</f>
        <v>42.7</v>
      </c>
      <c r="G13" s="30">
        <f>IF(G6=1,MAX(0,Assumptions!$B$22-MAX(G12,Assumptions!$B$23)),0)</f>
        <v>42.7</v>
      </c>
      <c r="H13" s="30">
        <f>IF(H6=1,MAX(0,Assumptions!$B$22-MAX(H12,Assumptions!$B$23)),0)</f>
        <v>42.7</v>
      </c>
      <c r="I13" s="30">
        <f>IF(I6=1,MAX(0,Assumptions!$B$22-MAX(I12,Assumptions!$B$23)),0)</f>
        <v>42.7</v>
      </c>
      <c r="J13" s="30">
        <f>IF(J6=1,MAX(0,Assumptions!$B$22-MAX(J12,Assumptions!$B$23)),0)</f>
        <v>42.7</v>
      </c>
      <c r="K13" s="30">
        <f>IF(K6=1,MAX(0,Assumptions!$B$22-MAX(K12,Assumptions!$B$23)),0)</f>
        <v>42.7</v>
      </c>
      <c r="L13" s="30">
        <f>IF(L6=1,MAX(0,Assumptions!$B$22-MAX(L12,Assumptions!$B$23)),0)</f>
        <v>42.7</v>
      </c>
      <c r="M13" s="30">
        <f>IF(M6=1,MAX(0,Assumptions!$B$22-MAX(M12,Assumptions!$B$23)),0)</f>
        <v>42.7</v>
      </c>
      <c r="N13" s="30">
        <f>IF(N6=1,MAX(0,Assumptions!$B$22-MAX(N12,Assumptions!$B$23)),0)</f>
        <v>42.7</v>
      </c>
      <c r="O13" s="30">
        <f>IF(O6=1,MAX(0,Assumptions!$B$22-MAX(O12,Assumptions!$B$23)),0)</f>
        <v>42.7</v>
      </c>
      <c r="P13" s="30">
        <f>IF(P6=1,MAX(0,Assumptions!$B$22-MAX(P12,Assumptions!$B$23)),0)</f>
        <v>42.7</v>
      </c>
      <c r="Q13" s="30">
        <f>IF(Q6=1,MAX(0,Assumptions!$B$22-MAX(Q12,Assumptions!$B$23)),0)</f>
        <v>42.7</v>
      </c>
      <c r="R13" s="30">
        <f>IF(R6=1,MAX(0,Assumptions!$B$22-MAX(R12,Assumptions!$B$23)),0)</f>
        <v>42.7</v>
      </c>
      <c r="S13" s="30">
        <f>IF(S6=1,MAX(0,Assumptions!$B$22-MAX(S12,Assumptions!$B$23)),0)</f>
        <v>0</v>
      </c>
      <c r="T13" s="30">
        <f>IF(T6=1,MAX(0,Assumptions!$B$22-MAX(T12,Assumptions!$B$23)),0)</f>
        <v>0</v>
      </c>
      <c r="U13" s="30">
        <f>IF(U6=1,MAX(0,Assumptions!$B$22-MAX(U12,Assumptions!$B$23)),0)</f>
        <v>0</v>
      </c>
      <c r="V13" s="30">
        <f>IF(V6=1,MAX(0,Assumptions!$B$22-MAX(V12,Assumptions!$B$23)),0)</f>
        <v>0</v>
      </c>
      <c r="W13" s="30">
        <f>IF(W6=1,MAX(0,Assumptions!$B$22-MAX(W12,Assumptions!$B$23)),0)</f>
        <v>0</v>
      </c>
      <c r="X13" s="30">
        <f>IF(X6=1,MAX(0,Assumptions!$B$22-MAX(X12,Assumptions!$B$23)),0)</f>
        <v>0</v>
      </c>
      <c r="Y13" s="30">
        <f>IF(Y6=1,MAX(0,Assumptions!$B$22-MAX(Y12,Assumptions!$B$23)),0)</f>
        <v>0</v>
      </c>
      <c r="Z13" s="30">
        <f>IF(Z6=1,MAX(0,Assumptions!$B$22-MAX(Z12,Assumptions!$B$23)),0)</f>
        <v>0</v>
      </c>
      <c r="AA13" s="30">
        <f>IF(AA6=1,MAX(0,Assumptions!$B$22-MAX(AA12,Assumptions!$B$23)),0)</f>
        <v>0</v>
      </c>
      <c r="AB13" s="30">
        <f>IF(AB6=1,MAX(0,Assumptions!$B$22-MAX(AB12,Assumptions!$B$23)),0)</f>
        <v>0</v>
      </c>
    </row>
    <row r="14" spans="1:28" x14ac:dyDescent="0.2">
      <c r="A14" s="21" t="s">
        <v>236</v>
      </c>
      <c r="C14" s="30">
        <v>0</v>
      </c>
      <c r="D14" s="30">
        <f t="shared" ref="D14:AB14" si="0">D12+D13</f>
        <v>72.7</v>
      </c>
      <c r="E14" s="30">
        <f t="shared" si="0"/>
        <v>72.7</v>
      </c>
      <c r="F14" s="30">
        <f t="shared" si="0"/>
        <v>72.7</v>
      </c>
      <c r="G14" s="30">
        <f t="shared" si="0"/>
        <v>72.7</v>
      </c>
      <c r="H14" s="30">
        <f t="shared" si="0"/>
        <v>72.7</v>
      </c>
      <c r="I14" s="30">
        <f t="shared" si="0"/>
        <v>72.7</v>
      </c>
      <c r="J14" s="30">
        <f t="shared" si="0"/>
        <v>72.7</v>
      </c>
      <c r="K14" s="30">
        <f t="shared" si="0"/>
        <v>72.7</v>
      </c>
      <c r="L14" s="30">
        <f t="shared" si="0"/>
        <v>72.7</v>
      </c>
      <c r="M14" s="30">
        <f t="shared" si="0"/>
        <v>72.7</v>
      </c>
      <c r="N14" s="30">
        <f t="shared" si="0"/>
        <v>72.7</v>
      </c>
      <c r="O14" s="30">
        <f t="shared" si="0"/>
        <v>72.7</v>
      </c>
      <c r="P14" s="30">
        <f t="shared" si="0"/>
        <v>72.7</v>
      </c>
      <c r="Q14" s="30">
        <f t="shared" si="0"/>
        <v>72.7</v>
      </c>
      <c r="R14" s="30">
        <f t="shared" si="0"/>
        <v>72.7</v>
      </c>
      <c r="S14" s="30">
        <f t="shared" si="0"/>
        <v>30</v>
      </c>
      <c r="T14" s="30">
        <f t="shared" si="0"/>
        <v>30</v>
      </c>
      <c r="U14" s="30">
        <f t="shared" si="0"/>
        <v>30</v>
      </c>
      <c r="V14" s="30">
        <f t="shared" si="0"/>
        <v>30</v>
      </c>
      <c r="W14" s="30">
        <f t="shared" si="0"/>
        <v>30</v>
      </c>
      <c r="X14" s="30">
        <f t="shared" si="0"/>
        <v>30</v>
      </c>
      <c r="Y14" s="30">
        <f t="shared" si="0"/>
        <v>30</v>
      </c>
      <c r="Z14" s="30">
        <f t="shared" si="0"/>
        <v>30</v>
      </c>
      <c r="AA14" s="30">
        <f t="shared" si="0"/>
        <v>30</v>
      </c>
      <c r="AB14" s="30">
        <f t="shared" si="0"/>
        <v>30</v>
      </c>
    </row>
    <row r="15" spans="1:28" x14ac:dyDescent="0.2">
      <c r="A15" s="21" t="s">
        <v>237</v>
      </c>
      <c r="C15" s="31">
        <v>0</v>
      </c>
      <c r="D15" s="31">
        <f t="shared" ref="D15:AB15" si="1">D10*D14</f>
        <v>239456352</v>
      </c>
      <c r="E15" s="31">
        <f t="shared" si="1"/>
        <v>239456352</v>
      </c>
      <c r="F15" s="31">
        <f t="shared" si="1"/>
        <v>239456352</v>
      </c>
      <c r="G15" s="31">
        <f t="shared" si="1"/>
        <v>239456352</v>
      </c>
      <c r="H15" s="31">
        <f t="shared" si="1"/>
        <v>239456352</v>
      </c>
      <c r="I15" s="31">
        <f t="shared" si="1"/>
        <v>239456352</v>
      </c>
      <c r="J15" s="31">
        <f t="shared" si="1"/>
        <v>239456352</v>
      </c>
      <c r="K15" s="31">
        <f t="shared" si="1"/>
        <v>239456352</v>
      </c>
      <c r="L15" s="31">
        <f t="shared" si="1"/>
        <v>239456352</v>
      </c>
      <c r="M15" s="31">
        <f t="shared" si="1"/>
        <v>239456352</v>
      </c>
      <c r="N15" s="31">
        <f t="shared" si="1"/>
        <v>239456352</v>
      </c>
      <c r="O15" s="31">
        <f t="shared" si="1"/>
        <v>239456352</v>
      </c>
      <c r="P15" s="31">
        <f t="shared" si="1"/>
        <v>239456352</v>
      </c>
      <c r="Q15" s="31">
        <f t="shared" si="1"/>
        <v>239456352</v>
      </c>
      <c r="R15" s="31">
        <f t="shared" si="1"/>
        <v>239456352</v>
      </c>
      <c r="S15" s="31">
        <f t="shared" si="1"/>
        <v>98812800</v>
      </c>
      <c r="T15" s="31">
        <f t="shared" si="1"/>
        <v>98812800</v>
      </c>
      <c r="U15" s="31">
        <f t="shared" si="1"/>
        <v>98812800</v>
      </c>
      <c r="V15" s="31">
        <f t="shared" si="1"/>
        <v>98812800</v>
      </c>
      <c r="W15" s="31">
        <f t="shared" si="1"/>
        <v>98812800</v>
      </c>
      <c r="X15" s="31">
        <f t="shared" si="1"/>
        <v>98812800</v>
      </c>
      <c r="Y15" s="31">
        <f t="shared" si="1"/>
        <v>98812800</v>
      </c>
      <c r="Z15" s="31">
        <f t="shared" si="1"/>
        <v>98812800</v>
      </c>
      <c r="AA15" s="31">
        <f t="shared" si="1"/>
        <v>98812800</v>
      </c>
      <c r="AB15" s="31">
        <f t="shared" si="1"/>
        <v>98812800</v>
      </c>
    </row>
    <row r="16" spans="1:28" x14ac:dyDescent="0.2">
      <c r="A16" s="8" t="s">
        <v>238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x14ac:dyDescent="0.2">
      <c r="A17" s="21" t="s">
        <v>239</v>
      </c>
      <c r="C17" s="31">
        <v>0</v>
      </c>
      <c r="D17" s="31">
        <f>Assumptions!$B$18*(1+Assumptions!$B$20)^(D5-1)*D10</f>
        <v>31587158.399999999</v>
      </c>
      <c r="E17" s="31">
        <f>Assumptions!$B$18*(1+Assumptions!$B$20)^(E5-1)*E10</f>
        <v>32218901.568</v>
      </c>
      <c r="F17" s="31">
        <f>Assumptions!$B$18*(1+Assumptions!$B$20)^(F5-1)*F10</f>
        <v>32863279.599359997</v>
      </c>
      <c r="G17" s="31">
        <f>Assumptions!$B$18*(1+Assumptions!$B$20)^(G5-1)*G10</f>
        <v>33520545.191347193</v>
      </c>
      <c r="H17" s="31">
        <f>Assumptions!$B$18*(1+Assumptions!$B$20)^(H5-1)*H10</f>
        <v>34190956.095174141</v>
      </c>
      <c r="I17" s="31">
        <f>Assumptions!$B$18*(1+Assumptions!$B$20)^(I5-1)*I10</f>
        <v>34874775.217077628</v>
      </c>
      <c r="J17" s="31">
        <f>Assumptions!$B$18*(1+Assumptions!$B$20)^(J5-1)*J10</f>
        <v>35572270.721419178</v>
      </c>
      <c r="K17" s="31">
        <f>Assumptions!$B$18*(1+Assumptions!$B$20)^(K5-1)*K10</f>
        <v>36283716.135847554</v>
      </c>
      <c r="L17" s="31">
        <f>Assumptions!$B$18*(1+Assumptions!$B$20)^(L5-1)*L10</f>
        <v>37009390.458564512</v>
      </c>
      <c r="M17" s="31">
        <f>Assumptions!$B$18*(1+Assumptions!$B$20)^(M5-1)*M10</f>
        <v>37749578.267735802</v>
      </c>
      <c r="N17" s="31">
        <f>Assumptions!$B$18*(1+Assumptions!$B$20)^(N5-1)*N10</f>
        <v>38504569.833090514</v>
      </c>
      <c r="O17" s="31">
        <f>Assumptions!$B$18*(1+Assumptions!$B$20)^(O5-1)*O10</f>
        <v>39274661.229752325</v>
      </c>
      <c r="P17" s="31">
        <f>Assumptions!$B$18*(1+Assumptions!$B$20)^(P5-1)*P10</f>
        <v>40060154.454347372</v>
      </c>
      <c r="Q17" s="31">
        <f>Assumptions!$B$18*(1+Assumptions!$B$20)^(Q5-1)*Q10</f>
        <v>40861357.543434322</v>
      </c>
      <c r="R17" s="31">
        <f>Assumptions!$B$18*(1+Assumptions!$B$20)^(R5-1)*R10</f>
        <v>41678584.694303013</v>
      </c>
      <c r="S17" s="31">
        <f>Assumptions!$B$18*(1+Assumptions!$B$20)^(S5-1)*S10</f>
        <v>42512156.388189055</v>
      </c>
      <c r="T17" s="31">
        <f>Assumptions!$B$18*(1+Assumptions!$B$20)^(T5-1)*T10</f>
        <v>43362399.515952848</v>
      </c>
      <c r="U17" s="31">
        <f>Assumptions!$B$18*(1+Assumptions!$B$20)^(U5-1)*U10</f>
        <v>44229647.506271914</v>
      </c>
      <c r="V17" s="31">
        <f>Assumptions!$B$18*(1+Assumptions!$B$20)^(V5-1)*V10</f>
        <v>45114240.45639734</v>
      </c>
      <c r="W17" s="31">
        <f>Assumptions!$B$18*(1+Assumptions!$B$20)^(W5-1)*W10</f>
        <v>46016525.265525289</v>
      </c>
      <c r="X17" s="31">
        <f>Assumptions!$B$18*(1+Assumptions!$B$20)^(X5-1)*X10</f>
        <v>46936855.770835802</v>
      </c>
      <c r="Y17" s="31">
        <f>Assumptions!$B$18*(1+Assumptions!$B$20)^(Y5-1)*Y10</f>
        <v>47875592.886252508</v>
      </c>
      <c r="Z17" s="31">
        <f>Assumptions!$B$18*(1+Assumptions!$B$20)^(Z5-1)*Z10</f>
        <v>48833104.743977562</v>
      </c>
      <c r="AA17" s="31">
        <f>Assumptions!$B$18*(1+Assumptions!$B$20)^(AA5-1)*AA10</f>
        <v>49809766.838857099</v>
      </c>
      <c r="AB17" s="31">
        <f>Assumptions!$B$18*(1+Assumptions!$B$20)^(AB5-1)*AB10</f>
        <v>50805962.17563425</v>
      </c>
    </row>
    <row r="18" spans="1:28" x14ac:dyDescent="0.2">
      <c r="A18" s="21" t="s">
        <v>240</v>
      </c>
      <c r="C18" s="31">
        <v>0</v>
      </c>
      <c r="D18" s="31">
        <f>Assumptions!$B$19*(1+Assumptions!$B$20)^(D5-1)*Assumptions!$B$6</f>
        <v>30343200</v>
      </c>
      <c r="E18" s="31">
        <f>Assumptions!$B$19*(1+Assumptions!$B$20)^(E5-1)*Assumptions!$B$6</f>
        <v>30950064</v>
      </c>
      <c r="F18" s="31">
        <f>Assumptions!$B$19*(1+Assumptions!$B$20)^(F5-1)*Assumptions!$B$6</f>
        <v>31569065.280000001</v>
      </c>
      <c r="G18" s="31">
        <f>Assumptions!$B$19*(1+Assumptions!$B$20)^(G5-1)*Assumptions!$B$6</f>
        <v>32200446.5856</v>
      </c>
      <c r="H18" s="31">
        <f>Assumptions!$B$19*(1+Assumptions!$B$20)^(H5-1)*Assumptions!$B$6</f>
        <v>32844455.517311998</v>
      </c>
      <c r="I18" s="31">
        <f>Assumptions!$B$19*(1+Assumptions!$B$20)^(I5-1)*Assumptions!$B$6</f>
        <v>33501344.62765824</v>
      </c>
      <c r="J18" s="31">
        <f>Assumptions!$B$19*(1+Assumptions!$B$20)^(J5-1)*Assumptions!$B$6</f>
        <v>34171371.520211406</v>
      </c>
      <c r="K18" s="31">
        <f>Assumptions!$B$19*(1+Assumptions!$B$20)^(K5-1)*Assumptions!$B$6</f>
        <v>34854798.95061563</v>
      </c>
      <c r="L18" s="31">
        <f>Assumptions!$B$19*(1+Assumptions!$B$20)^(L5-1)*Assumptions!$B$6</f>
        <v>35551894.929627948</v>
      </c>
      <c r="M18" s="31">
        <f>Assumptions!$B$19*(1+Assumptions!$B$20)^(M5-1)*Assumptions!$B$6</f>
        <v>36262932.828220502</v>
      </c>
      <c r="N18" s="31">
        <f>Assumptions!$B$19*(1+Assumptions!$B$20)^(N5-1)*Assumptions!$B$6</f>
        <v>36988191.484784909</v>
      </c>
      <c r="O18" s="31">
        <f>Assumptions!$B$19*(1+Assumptions!$B$20)^(O5-1)*Assumptions!$B$6</f>
        <v>37727955.314480603</v>
      </c>
      <c r="P18" s="31">
        <f>Assumptions!$B$19*(1+Assumptions!$B$20)^(P5-1)*Assumptions!$B$6</f>
        <v>38482514.42077022</v>
      </c>
      <c r="Q18" s="31">
        <f>Assumptions!$B$19*(1+Assumptions!$B$20)^(Q5-1)*Assumptions!$B$6</f>
        <v>39252164.70918563</v>
      </c>
      <c r="R18" s="31">
        <f>Assumptions!$B$19*(1+Assumptions!$B$20)^(R5-1)*Assumptions!$B$6</f>
        <v>40037208.003369339</v>
      </c>
      <c r="S18" s="31">
        <f>Assumptions!$B$19*(1+Assumptions!$B$20)^(S5-1)*Assumptions!$B$6</f>
        <v>40837952.163436718</v>
      </c>
      <c r="T18" s="31">
        <f>Assumptions!$B$19*(1+Assumptions!$B$20)^(T5-1)*Assumptions!$B$6</f>
        <v>41654711.206705458</v>
      </c>
      <c r="U18" s="31">
        <f>Assumptions!$B$19*(1+Assumptions!$B$20)^(U5-1)*Assumptions!$B$6</f>
        <v>42487805.430839576</v>
      </c>
      <c r="V18" s="31">
        <f>Assumptions!$B$19*(1+Assumptions!$B$20)^(V5-1)*Assumptions!$B$6</f>
        <v>43337561.539456353</v>
      </c>
      <c r="W18" s="31">
        <f>Assumptions!$B$19*(1+Assumptions!$B$20)^(W5-1)*Assumptions!$B$6</f>
        <v>44204312.770245485</v>
      </c>
      <c r="X18" s="31">
        <f>Assumptions!$B$19*(1+Assumptions!$B$20)^(X5-1)*Assumptions!$B$6</f>
        <v>45088399.025650404</v>
      </c>
      <c r="Y18" s="31">
        <f>Assumptions!$B$19*(1+Assumptions!$B$20)^(Y5-1)*Assumptions!$B$6</f>
        <v>45990167.006163403</v>
      </c>
      <c r="Z18" s="31">
        <f>Assumptions!$B$19*(1+Assumptions!$B$20)^(Z5-1)*Assumptions!$B$6</f>
        <v>46909970.346286677</v>
      </c>
      <c r="AA18" s="31">
        <f>Assumptions!$B$19*(1+Assumptions!$B$20)^(AA5-1)*Assumptions!$B$6</f>
        <v>47848169.753212392</v>
      </c>
      <c r="AB18" s="31">
        <f>Assumptions!$B$19*(1+Assumptions!$B$20)^(AB5-1)*Assumptions!$B$6</f>
        <v>48805133.148276649</v>
      </c>
    </row>
    <row r="19" spans="1:28" x14ac:dyDescent="0.2">
      <c r="A19" s="21" t="s">
        <v>241</v>
      </c>
      <c r="C19" s="31">
        <v>0</v>
      </c>
      <c r="D19" s="31">
        <f t="shared" ref="D19:AB19" si="2">D17+D18</f>
        <v>61930358.399999999</v>
      </c>
      <c r="E19" s="31">
        <f t="shared" si="2"/>
        <v>63168965.568000004</v>
      </c>
      <c r="F19" s="31">
        <f t="shared" si="2"/>
        <v>64432344.879359998</v>
      </c>
      <c r="G19" s="31">
        <f t="shared" si="2"/>
        <v>65720991.776947193</v>
      </c>
      <c r="H19" s="31">
        <f t="shared" si="2"/>
        <v>67035411.612486139</v>
      </c>
      <c r="I19" s="31">
        <f t="shared" si="2"/>
        <v>68376119.844735861</v>
      </c>
      <c r="J19" s="31">
        <f t="shared" si="2"/>
        <v>69743642.241630584</v>
      </c>
      <c r="K19" s="31">
        <f t="shared" si="2"/>
        <v>71138515.086463183</v>
      </c>
      <c r="L19" s="31">
        <f t="shared" si="2"/>
        <v>72561285.38819246</v>
      </c>
      <c r="M19" s="31">
        <f t="shared" si="2"/>
        <v>74012511.095956296</v>
      </c>
      <c r="N19" s="31">
        <f t="shared" si="2"/>
        <v>75492761.317875415</v>
      </c>
      <c r="O19" s="31">
        <f t="shared" si="2"/>
        <v>77002616.544232935</v>
      </c>
      <c r="P19" s="31">
        <f t="shared" si="2"/>
        <v>78542668.8751176</v>
      </c>
      <c r="Q19" s="31">
        <f t="shared" si="2"/>
        <v>80113522.252619952</v>
      </c>
      <c r="R19" s="31">
        <f t="shared" si="2"/>
        <v>81715792.697672352</v>
      </c>
      <c r="S19" s="31">
        <f t="shared" si="2"/>
        <v>83350108.551625773</v>
      </c>
      <c r="T19" s="31">
        <f t="shared" si="2"/>
        <v>85017110.722658306</v>
      </c>
      <c r="U19" s="31">
        <f t="shared" si="2"/>
        <v>86717452.937111497</v>
      </c>
      <c r="V19" s="31">
        <f t="shared" si="2"/>
        <v>88451801.995853692</v>
      </c>
      <c r="W19" s="31">
        <f t="shared" si="2"/>
        <v>90220838.035770774</v>
      </c>
      <c r="X19" s="31">
        <f t="shared" si="2"/>
        <v>92025254.796486199</v>
      </c>
      <c r="Y19" s="31">
        <f t="shared" si="2"/>
        <v>93865759.892415911</v>
      </c>
      <c r="Z19" s="31">
        <f t="shared" si="2"/>
        <v>95743075.090264231</v>
      </c>
      <c r="AA19" s="31">
        <f t="shared" si="2"/>
        <v>97657936.592069492</v>
      </c>
      <c r="AB19" s="31">
        <f t="shared" si="2"/>
        <v>99611095.323910892</v>
      </c>
    </row>
    <row r="20" spans="1:28" x14ac:dyDescent="0.2">
      <c r="A20" s="8" t="s">
        <v>242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x14ac:dyDescent="0.2">
      <c r="A21" s="21" t="s">
        <v>243</v>
      </c>
      <c r="C21" s="31">
        <v>0</v>
      </c>
      <c r="D21" s="31">
        <f t="shared" ref="D21:AB21" si="3">D15-D19</f>
        <v>177525993.59999999</v>
      </c>
      <c r="E21" s="31">
        <f t="shared" si="3"/>
        <v>176287386.43199998</v>
      </c>
      <c r="F21" s="31">
        <f t="shared" si="3"/>
        <v>175024007.12064001</v>
      </c>
      <c r="G21" s="31">
        <f t="shared" si="3"/>
        <v>173735360.2230528</v>
      </c>
      <c r="H21" s="31">
        <f t="shared" si="3"/>
        <v>172420940.38751388</v>
      </c>
      <c r="I21" s="31">
        <f t="shared" si="3"/>
        <v>171080232.15526414</v>
      </c>
      <c r="J21" s="31">
        <f t="shared" si="3"/>
        <v>169712709.75836942</v>
      </c>
      <c r="K21" s="31">
        <f t="shared" si="3"/>
        <v>168317836.91353682</v>
      </c>
      <c r="L21" s="31">
        <f t="shared" si="3"/>
        <v>166895066.61180753</v>
      </c>
      <c r="M21" s="31">
        <f t="shared" si="3"/>
        <v>165443840.9040437</v>
      </c>
      <c r="N21" s="31">
        <f t="shared" si="3"/>
        <v>163963590.68212458</v>
      </c>
      <c r="O21" s="31">
        <f t="shared" si="3"/>
        <v>162453735.45576707</v>
      </c>
      <c r="P21" s="31">
        <f t="shared" si="3"/>
        <v>160913683.1248824</v>
      </c>
      <c r="Q21" s="31">
        <f t="shared" si="3"/>
        <v>159342829.74738005</v>
      </c>
      <c r="R21" s="31">
        <f t="shared" si="3"/>
        <v>157740559.30232763</v>
      </c>
      <c r="S21" s="31">
        <f t="shared" si="3"/>
        <v>15462691.448374227</v>
      </c>
      <c r="T21" s="31">
        <f t="shared" si="3"/>
        <v>13795689.277341694</v>
      </c>
      <c r="U21" s="31">
        <f t="shared" si="3"/>
        <v>12095347.062888503</v>
      </c>
      <c r="V21" s="31">
        <f t="shared" si="3"/>
        <v>10360998.004146308</v>
      </c>
      <c r="W21" s="31">
        <f t="shared" si="3"/>
        <v>8591961.9642292261</v>
      </c>
      <c r="X21" s="31">
        <f t="shared" si="3"/>
        <v>6787545.2035138011</v>
      </c>
      <c r="Y21" s="31">
        <f t="shared" si="3"/>
        <v>4947040.107584089</v>
      </c>
      <c r="Z21" s="31">
        <f t="shared" si="3"/>
        <v>3069724.909735769</v>
      </c>
      <c r="AA21" s="31">
        <f t="shared" si="3"/>
        <v>1154863.4079305083</v>
      </c>
      <c r="AB21" s="31">
        <f t="shared" si="3"/>
        <v>-798295.32391089201</v>
      </c>
    </row>
    <row r="22" spans="1:28" x14ac:dyDescent="0.2">
      <c r="A22" s="21" t="s">
        <v>244</v>
      </c>
      <c r="C22" s="31">
        <v>0</v>
      </c>
      <c r="D22" s="31">
        <f>Assumptions!$B$13/Assumptions!$B$36</f>
        <v>59640000</v>
      </c>
      <c r="E22" s="31">
        <f>Assumptions!$B$13/Assumptions!$B$36</f>
        <v>59640000</v>
      </c>
      <c r="F22" s="31">
        <f>Assumptions!$B$13/Assumptions!$B$36</f>
        <v>59640000</v>
      </c>
      <c r="G22" s="31">
        <f>Assumptions!$B$13/Assumptions!$B$36</f>
        <v>59640000</v>
      </c>
      <c r="H22" s="31">
        <f>Assumptions!$B$13/Assumptions!$B$36</f>
        <v>59640000</v>
      </c>
      <c r="I22" s="31">
        <f>Assumptions!$B$13/Assumptions!$B$36</f>
        <v>59640000</v>
      </c>
      <c r="J22" s="31">
        <f>Assumptions!$B$13/Assumptions!$B$36</f>
        <v>59640000</v>
      </c>
      <c r="K22" s="31">
        <f>Assumptions!$B$13/Assumptions!$B$36</f>
        <v>59640000</v>
      </c>
      <c r="L22" s="31">
        <f>Assumptions!$B$13/Assumptions!$B$36</f>
        <v>59640000</v>
      </c>
      <c r="M22" s="31">
        <f>Assumptions!$B$13/Assumptions!$B$36</f>
        <v>59640000</v>
      </c>
      <c r="N22" s="31">
        <f>Assumptions!$B$13/Assumptions!$B$36</f>
        <v>59640000</v>
      </c>
      <c r="O22" s="31">
        <f>Assumptions!$B$13/Assumptions!$B$36</f>
        <v>59640000</v>
      </c>
      <c r="P22" s="31">
        <f>Assumptions!$B$13/Assumptions!$B$36</f>
        <v>59640000</v>
      </c>
      <c r="Q22" s="31">
        <f>Assumptions!$B$13/Assumptions!$B$36</f>
        <v>59640000</v>
      </c>
      <c r="R22" s="31">
        <f>Assumptions!$B$13/Assumptions!$B$36</f>
        <v>59640000</v>
      </c>
      <c r="S22" s="31">
        <f>Assumptions!$B$13/Assumptions!$B$36</f>
        <v>59640000</v>
      </c>
      <c r="T22" s="31">
        <f>Assumptions!$B$13/Assumptions!$B$36</f>
        <v>59640000</v>
      </c>
      <c r="U22" s="31">
        <f>Assumptions!$B$13/Assumptions!$B$36</f>
        <v>59640000</v>
      </c>
      <c r="V22" s="31">
        <f>Assumptions!$B$13/Assumptions!$B$36</f>
        <v>59640000</v>
      </c>
      <c r="W22" s="31">
        <f>Assumptions!$B$13/Assumptions!$B$36</f>
        <v>59640000</v>
      </c>
      <c r="X22" s="31">
        <f>Assumptions!$B$13/Assumptions!$B$36</f>
        <v>59640000</v>
      </c>
      <c r="Y22" s="31">
        <f>Assumptions!$B$13/Assumptions!$B$36</f>
        <v>59640000</v>
      </c>
      <c r="Z22" s="31">
        <f>Assumptions!$B$13/Assumptions!$B$36</f>
        <v>59640000</v>
      </c>
      <c r="AA22" s="31">
        <f>Assumptions!$B$13/Assumptions!$B$36</f>
        <v>59640000</v>
      </c>
      <c r="AB22" s="31">
        <f>Assumptions!$B$13/Assumptions!$B$36</f>
        <v>59640000</v>
      </c>
    </row>
    <row r="23" spans="1:28" x14ac:dyDescent="0.2">
      <c r="A23" s="21" t="s">
        <v>245</v>
      </c>
      <c r="C23" s="31">
        <v>0</v>
      </c>
      <c r="D23" s="31">
        <f t="shared" ref="D23:AB23" si="4">D21-D22</f>
        <v>117885993.59999999</v>
      </c>
      <c r="E23" s="31">
        <f t="shared" si="4"/>
        <v>116647386.43199998</v>
      </c>
      <c r="F23" s="31">
        <f t="shared" si="4"/>
        <v>115384007.12064001</v>
      </c>
      <c r="G23" s="31">
        <f t="shared" si="4"/>
        <v>114095360.2230528</v>
      </c>
      <c r="H23" s="31">
        <f t="shared" si="4"/>
        <v>112780940.38751388</v>
      </c>
      <c r="I23" s="31">
        <f t="shared" si="4"/>
        <v>111440232.15526414</v>
      </c>
      <c r="J23" s="31">
        <f t="shared" si="4"/>
        <v>110072709.75836942</v>
      </c>
      <c r="K23" s="31">
        <f t="shared" si="4"/>
        <v>108677836.91353682</v>
      </c>
      <c r="L23" s="31">
        <f t="shared" si="4"/>
        <v>107255066.61180753</v>
      </c>
      <c r="M23" s="31">
        <f t="shared" si="4"/>
        <v>105803840.9040437</v>
      </c>
      <c r="N23" s="31">
        <f t="shared" si="4"/>
        <v>104323590.68212458</v>
      </c>
      <c r="O23" s="31">
        <f t="shared" si="4"/>
        <v>102813735.45576707</v>
      </c>
      <c r="P23" s="31">
        <f t="shared" si="4"/>
        <v>101273683.1248824</v>
      </c>
      <c r="Q23" s="31">
        <f t="shared" si="4"/>
        <v>99702829.747380048</v>
      </c>
      <c r="R23" s="31">
        <f t="shared" si="4"/>
        <v>98100559.302327633</v>
      </c>
      <c r="S23" s="31">
        <f t="shared" si="4"/>
        <v>-44177308.551625773</v>
      </c>
      <c r="T23" s="31">
        <f t="shared" si="4"/>
        <v>-45844310.722658306</v>
      </c>
      <c r="U23" s="31">
        <f t="shared" si="4"/>
        <v>-47544652.937111497</v>
      </c>
      <c r="V23" s="31">
        <f t="shared" si="4"/>
        <v>-49279001.995853692</v>
      </c>
      <c r="W23" s="31">
        <f t="shared" si="4"/>
        <v>-51048038.035770774</v>
      </c>
      <c r="X23" s="31">
        <f t="shared" si="4"/>
        <v>-52852454.796486199</v>
      </c>
      <c r="Y23" s="31">
        <f t="shared" si="4"/>
        <v>-54692959.892415911</v>
      </c>
      <c r="Z23" s="31">
        <f t="shared" si="4"/>
        <v>-56570275.090264231</v>
      </c>
      <c r="AA23" s="31">
        <f t="shared" si="4"/>
        <v>-58485136.592069492</v>
      </c>
      <c r="AB23" s="31">
        <f t="shared" si="4"/>
        <v>-60438295.323910892</v>
      </c>
    </row>
    <row r="24" spans="1:28" x14ac:dyDescent="0.2">
      <c r="A24" s="21" t="s">
        <v>246</v>
      </c>
      <c r="C24" s="31">
        <v>0</v>
      </c>
      <c r="D24" s="31">
        <f>-MAX(0,D23*Assumptions!$B$32)</f>
        <v>-30414586.3488</v>
      </c>
      <c r="E24" s="31">
        <f>-MAX(0,E23*Assumptions!$B$32)</f>
        <v>-30095025.699455995</v>
      </c>
      <c r="F24" s="31">
        <f>-MAX(0,F23*Assumptions!$B$32)</f>
        <v>-29769073.837125123</v>
      </c>
      <c r="G24" s="31">
        <f>-MAX(0,G23*Assumptions!$B$32)</f>
        <v>-29436602.937547624</v>
      </c>
      <c r="H24" s="31">
        <f>-MAX(0,H23*Assumptions!$B$32)</f>
        <v>-29097482.619978581</v>
      </c>
      <c r="I24" s="31">
        <f>-MAX(0,I23*Assumptions!$B$32)</f>
        <v>-28751579.89605815</v>
      </c>
      <c r="J24" s="31">
        <f>-MAX(0,J23*Assumptions!$B$32)</f>
        <v>-28398759.117659312</v>
      </c>
      <c r="K24" s="31">
        <f>-MAX(0,K23*Assumptions!$B$32)</f>
        <v>-28038881.923692498</v>
      </c>
      <c r="L24" s="31">
        <f>-MAX(0,L23*Assumptions!$B$32)</f>
        <v>-27671807.185846344</v>
      </c>
      <c r="M24" s="31">
        <f>-MAX(0,M23*Assumptions!$B$32)</f>
        <v>-27297390.953243278</v>
      </c>
      <c r="N24" s="31">
        <f>-MAX(0,N23*Assumptions!$B$32)</f>
        <v>-26915486.395988144</v>
      </c>
      <c r="O24" s="31">
        <f>-MAX(0,O23*Assumptions!$B$32)</f>
        <v>-26525943.747587904</v>
      </c>
      <c r="P24" s="31">
        <f>-MAX(0,P23*Assumptions!$B$32)</f>
        <v>-26128610.246219661</v>
      </c>
      <c r="Q24" s="31">
        <f>-MAX(0,Q23*Assumptions!$B$32)</f>
        <v>-25723330.074824054</v>
      </c>
      <c r="R24" s="31">
        <f>-MAX(0,R23*Assumptions!$B$32)</f>
        <v>-25309944.30000053</v>
      </c>
      <c r="S24" s="31">
        <f>-MAX(0,S23*Assumptions!$B$32)</f>
        <v>0</v>
      </c>
      <c r="T24" s="31">
        <f>-MAX(0,T23*Assumptions!$B$32)</f>
        <v>0</v>
      </c>
      <c r="U24" s="31">
        <f>-MAX(0,U23*Assumptions!$B$32)</f>
        <v>0</v>
      </c>
      <c r="V24" s="31">
        <f>-MAX(0,V23*Assumptions!$B$32)</f>
        <v>0</v>
      </c>
      <c r="W24" s="31">
        <f>-MAX(0,W23*Assumptions!$B$32)</f>
        <v>0</v>
      </c>
      <c r="X24" s="31">
        <f>-MAX(0,X23*Assumptions!$B$32)</f>
        <v>0</v>
      </c>
      <c r="Y24" s="31">
        <f>-MAX(0,Y23*Assumptions!$B$32)</f>
        <v>0</v>
      </c>
      <c r="Z24" s="31">
        <f>-MAX(0,Z23*Assumptions!$B$32)</f>
        <v>0</v>
      </c>
      <c r="AA24" s="31">
        <f>-MAX(0,AA23*Assumptions!$B$32)</f>
        <v>0</v>
      </c>
      <c r="AB24" s="31">
        <f>-MAX(0,AB23*Assumptions!$B$32)</f>
        <v>0</v>
      </c>
    </row>
    <row r="25" spans="1:28" x14ac:dyDescent="0.2">
      <c r="A25" s="8" t="s">
        <v>247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x14ac:dyDescent="0.2">
      <c r="A26" s="21" t="s">
        <v>248</v>
      </c>
      <c r="C26" s="31">
        <f>-Assumptions!$B$13</f>
        <v>-1491000000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</row>
    <row r="27" spans="1:28" x14ac:dyDescent="0.2">
      <c r="A27" s="21" t="s">
        <v>249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f>-Assumptions!$B$16</f>
        <v>-42000000</v>
      </c>
    </row>
    <row r="28" spans="1:28" x14ac:dyDescent="0.2">
      <c r="A28" s="21" t="s">
        <v>250</v>
      </c>
      <c r="C28" s="31">
        <f>C26+C27</f>
        <v>-1491000000</v>
      </c>
      <c r="D28" s="31">
        <f t="shared" ref="D28:AB28" si="5">D21+D24+D26+D27</f>
        <v>147111407.25119999</v>
      </c>
      <c r="E28" s="31">
        <f t="shared" si="5"/>
        <v>146192360.73254398</v>
      </c>
      <c r="F28" s="31">
        <f t="shared" si="5"/>
        <v>145254933.28351489</v>
      </c>
      <c r="G28" s="31">
        <f t="shared" si="5"/>
        <v>144298757.28550518</v>
      </c>
      <c r="H28" s="31">
        <f t="shared" si="5"/>
        <v>143323457.7675353</v>
      </c>
      <c r="I28" s="31">
        <f t="shared" si="5"/>
        <v>142328652.259206</v>
      </c>
      <c r="J28" s="31">
        <f t="shared" si="5"/>
        <v>141313950.64071012</v>
      </c>
      <c r="K28" s="31">
        <f t="shared" si="5"/>
        <v>140278954.98984432</v>
      </c>
      <c r="L28" s="31">
        <f t="shared" si="5"/>
        <v>139223259.4259612</v>
      </c>
      <c r="M28" s="31">
        <f t="shared" si="5"/>
        <v>138146449.95080042</v>
      </c>
      <c r="N28" s="31">
        <f t="shared" si="5"/>
        <v>137048104.28613645</v>
      </c>
      <c r="O28" s="31">
        <f t="shared" si="5"/>
        <v>135927791.70817918</v>
      </c>
      <c r="P28" s="31">
        <f t="shared" si="5"/>
        <v>134785072.87866274</v>
      </c>
      <c r="Q28" s="31">
        <f t="shared" si="5"/>
        <v>133619499.672556</v>
      </c>
      <c r="R28" s="31">
        <f t="shared" si="5"/>
        <v>132430615.0023271</v>
      </c>
      <c r="S28" s="31">
        <f t="shared" si="5"/>
        <v>15462691.448374227</v>
      </c>
      <c r="T28" s="31">
        <f t="shared" si="5"/>
        <v>13795689.277341694</v>
      </c>
      <c r="U28" s="31">
        <f t="shared" si="5"/>
        <v>12095347.062888503</v>
      </c>
      <c r="V28" s="31">
        <f t="shared" si="5"/>
        <v>10360998.004146308</v>
      </c>
      <c r="W28" s="31">
        <f t="shared" si="5"/>
        <v>8591961.9642292261</v>
      </c>
      <c r="X28" s="31">
        <f t="shared" si="5"/>
        <v>6787545.2035138011</v>
      </c>
      <c r="Y28" s="31">
        <f t="shared" si="5"/>
        <v>4947040.107584089</v>
      </c>
      <c r="Z28" s="31">
        <f t="shared" si="5"/>
        <v>3069724.909735769</v>
      </c>
      <c r="AA28" s="31">
        <f t="shared" si="5"/>
        <v>1154863.4079305083</v>
      </c>
      <c r="AB28" s="31">
        <f t="shared" si="5"/>
        <v>-42798295.323910892</v>
      </c>
    </row>
    <row r="29" spans="1:28" x14ac:dyDescent="0.2">
      <c r="A29" s="21" t="s">
        <v>251</v>
      </c>
      <c r="C29" s="28">
        <v>1</v>
      </c>
      <c r="D29" s="28">
        <f>1/(1+Assumptions!$B$33)^D5</f>
        <v>0.95878655973000571</v>
      </c>
      <c r="E29" s="28">
        <f>1/(1+Assumptions!$B$33)^E5</f>
        <v>0.91927166711889963</v>
      </c>
      <c r="F29" s="28">
        <f>1/(1+Assumptions!$B$33)^F5</f>
        <v>0.88138531917419682</v>
      </c>
      <c r="G29" s="28">
        <f>1/(1+Assumptions!$B$33)^G5</f>
        <v>0.84506039796756105</v>
      </c>
      <c r="H29" s="28">
        <f>1/(1+Assumptions!$B$33)^H5</f>
        <v>0.81023255173138731</v>
      </c>
      <c r="I29" s="28">
        <f>1/(1+Assumptions!$B$33)^I5</f>
        <v>0.7768400808558007</v>
      </c>
      <c r="J29" s="28">
        <f>1/(1+Assumptions!$B$33)^J5</f>
        <v>0.74482382858411256</v>
      </c>
      <c r="K29" s="28">
        <f>1/(1+Assumptions!$B$33)^K5</f>
        <v>0.71412707621309268</v>
      </c>
      <c r="L29" s="28">
        <f>1/(1+Assumptions!$B$33)^L5</f>
        <v>0.68469544261239879</v>
      </c>
      <c r="M29" s="28">
        <f>1/(1+Assumptions!$B$33)^M5</f>
        <v>0.65647678788515529</v>
      </c>
      <c r="N29" s="28">
        <f>1/(1+Assumptions!$B$33)^N5</f>
        <v>0.62942112099901271</v>
      </c>
      <c r="O29" s="28">
        <f>1/(1+Assumptions!$B$33)^O5</f>
        <v>0.603480511224047</v>
      </c>
      <c r="P29" s="28">
        <f>1/(1+Assumptions!$B$33)^P5</f>
        <v>0.57860900322060904</v>
      </c>
      <c r="Q29" s="28">
        <f>1/(1+Assumptions!$B$33)^Q5</f>
        <v>0.55476253562669553</v>
      </c>
      <c r="R29" s="28">
        <f>1/(1+Assumptions!$B$33)^R5</f>
        <v>0.53189886300061406</v>
      </c>
      <c r="S29" s="28">
        <f>1/(1+Assumptions!$B$33)^S5</f>
        <v>0.50997748098066031</v>
      </c>
      <c r="T29" s="28">
        <f>1/(1+Assumptions!$B$33)^T5</f>
        <v>0.48895955452922174</v>
      </c>
      <c r="U29" s="28">
        <f>1/(1+Assumptions!$B$33)^U5</f>
        <v>0.4688078491341886</v>
      </c>
      <c r="V29" s="28">
        <f>1/(1+Assumptions!$B$33)^V5</f>
        <v>0.44948666484579225</v>
      </c>
      <c r="W29" s="28">
        <f>1/(1+Assumptions!$B$33)^W5</f>
        <v>0.43096177303201116</v>
      </c>
      <c r="X29" s="28">
        <f>1/(1+Assumptions!$B$33)^X5</f>
        <v>0.41320035574050545</v>
      </c>
      <c r="Y29" s="28">
        <f>1/(1+Assumptions!$B$33)^Y5</f>
        <v>0.39617094755965371</v>
      </c>
      <c r="Z29" s="28">
        <f>1/(1+Assumptions!$B$33)^Z5</f>
        <v>0.37984337987569694</v>
      </c>
      <c r="AA29" s="28">
        <f>1/(1+Assumptions!$B$33)^AA5</f>
        <v>0.36418872742723707</v>
      </c>
      <c r="AB29" s="28">
        <f>1/(1+Assumptions!$B$33)^AB5</f>
        <v>0.34917925706240943</v>
      </c>
    </row>
    <row r="30" spans="1:28" x14ac:dyDescent="0.2">
      <c r="A30" s="21" t="s">
        <v>252</v>
      </c>
      <c r="C30" s="31">
        <f t="shared" ref="C30:AB30" si="6">C28*C29</f>
        <v>-1491000000</v>
      </c>
      <c r="D30" s="31">
        <f t="shared" si="6"/>
        <v>141048440.05541787</v>
      </c>
      <c r="E30" s="31">
        <f t="shared" si="6"/>
        <v>134390495.17065325</v>
      </c>
      <c r="F30" s="31">
        <f t="shared" si="6"/>
        <v>128025565.73371744</v>
      </c>
      <c r="G30" s="31">
        <f t="shared" si="6"/>
        <v>121941165.2579135</v>
      </c>
      <c r="H30" s="31">
        <f t="shared" si="6"/>
        <v>116125330.90995584</v>
      </c>
      <c r="I30" s="31">
        <f t="shared" si="6"/>
        <v>110566601.72913873</v>
      </c>
      <c r="J30" s="31">
        <f t="shared" si="6"/>
        <v>105253997.74856001</v>
      </c>
      <c r="K30" s="31">
        <f t="shared" si="6"/>
        <v>100176999.98112555</v>
      </c>
      <c r="L30" s="31">
        <f t="shared" si="6"/>
        <v>95325531.234599322</v>
      </c>
      <c r="M30" s="31">
        <f t="shared" si="6"/>
        <v>90689937.721438825</v>
      </c>
      <c r="N30" s="31">
        <f t="shared" si="6"/>
        <v>86260971.430569604</v>
      </c>
      <c r="O30" s="31">
        <f t="shared" si="6"/>
        <v>82029773.229607746</v>
      </c>
      <c r="P30" s="31">
        <f t="shared" si="6"/>
        <v>77987856.667340189</v>
      </c>
      <c r="Q30" s="31">
        <f t="shared" si="6"/>
        <v>74127092.447517574</v>
      </c>
      <c r="R30" s="31">
        <f t="shared" si="6"/>
        <v>70439693.546209842</v>
      </c>
      <c r="S30" s="31">
        <f t="shared" si="6"/>
        <v>7885624.434023086</v>
      </c>
      <c r="T30" s="31">
        <f t="shared" si="6"/>
        <v>6745534.0834725555</v>
      </c>
      <c r="U30" s="31">
        <f t="shared" si="6"/>
        <v>5670393.6410842845</v>
      </c>
      <c r="V30" s="31">
        <f t="shared" si="6"/>
        <v>4657130.4373576334</v>
      </c>
      <c r="W30" s="31">
        <f t="shared" si="6"/>
        <v>3702807.1619278286</v>
      </c>
      <c r="X30" s="31">
        <f t="shared" si="6"/>
        <v>2804616.0926966639</v>
      </c>
      <c r="Y30" s="31">
        <f t="shared" si="6"/>
        <v>1959873.5670371999</v>
      </c>
      <c r="Z30" s="31">
        <f t="shared" si="6"/>
        <v>1166014.6850026532</v>
      </c>
      <c r="AA30" s="31">
        <f t="shared" si="6"/>
        <v>420588.23488649394</v>
      </c>
      <c r="AB30" s="31">
        <f t="shared" si="6"/>
        <v>-14944276.964740796</v>
      </c>
    </row>
    <row r="31" spans="1:28" x14ac:dyDescent="0.2">
      <c r="A31" s="21" t="s">
        <v>253</v>
      </c>
      <c r="C31" s="31">
        <f>C30</f>
        <v>-1491000000</v>
      </c>
      <c r="D31" s="31">
        <f t="shared" ref="D31:AB31" si="7">C31+D30</f>
        <v>-1349951559.9445822</v>
      </c>
      <c r="E31" s="31">
        <f t="shared" si="7"/>
        <v>-1215561064.7739289</v>
      </c>
      <c r="F31" s="31">
        <f t="shared" si="7"/>
        <v>-1087535499.0402114</v>
      </c>
      <c r="G31" s="31">
        <f t="shared" si="7"/>
        <v>-965594333.78229797</v>
      </c>
      <c r="H31" s="31">
        <f t="shared" si="7"/>
        <v>-849469002.87234211</v>
      </c>
      <c r="I31" s="31">
        <f t="shared" si="7"/>
        <v>-738902401.14320338</v>
      </c>
      <c r="J31" s="31">
        <f t="shared" si="7"/>
        <v>-633648403.39464331</v>
      </c>
      <c r="K31" s="31">
        <f t="shared" si="7"/>
        <v>-533471403.41351777</v>
      </c>
      <c r="L31" s="31">
        <f t="shared" si="7"/>
        <v>-438145872.17891848</v>
      </c>
      <c r="M31" s="31">
        <f t="shared" si="7"/>
        <v>-347455934.45747966</v>
      </c>
      <c r="N31" s="31">
        <f t="shared" si="7"/>
        <v>-261194963.02691007</v>
      </c>
      <c r="O31" s="31">
        <f t="shared" si="7"/>
        <v>-179165189.79730231</v>
      </c>
      <c r="P31" s="31">
        <f t="shared" si="7"/>
        <v>-101177333.12996212</v>
      </c>
      <c r="Q31" s="31">
        <f t="shared" si="7"/>
        <v>-27050240.682444543</v>
      </c>
      <c r="R31" s="31">
        <f t="shared" si="7"/>
        <v>43389452.863765299</v>
      </c>
      <c r="S31" s="31">
        <f t="shared" si="7"/>
        <v>51275077.297788382</v>
      </c>
      <c r="T31" s="31">
        <f t="shared" si="7"/>
        <v>58020611.381260939</v>
      </c>
      <c r="U31" s="31">
        <f t="shared" si="7"/>
        <v>63691005.022345223</v>
      </c>
      <c r="V31" s="31">
        <f t="shared" si="7"/>
        <v>68348135.459702849</v>
      </c>
      <c r="W31" s="31">
        <f t="shared" si="7"/>
        <v>72050942.621630684</v>
      </c>
      <c r="X31" s="31">
        <f t="shared" si="7"/>
        <v>74855558.71432735</v>
      </c>
      <c r="Y31" s="31">
        <f t="shared" si="7"/>
        <v>76815432.281364545</v>
      </c>
      <c r="Z31" s="31">
        <f t="shared" si="7"/>
        <v>77981446.9663672</v>
      </c>
      <c r="AA31" s="31">
        <f t="shared" si="7"/>
        <v>78402035.201253697</v>
      </c>
      <c r="AB31" s="31">
        <f t="shared" si="7"/>
        <v>63457758.236512899</v>
      </c>
    </row>
    <row r="32" spans="1:28" x14ac:dyDescent="0.2">
      <c r="A32" s="21" t="s">
        <v>254</v>
      </c>
      <c r="C32" s="29">
        <v>0</v>
      </c>
      <c r="D32" s="29">
        <f t="shared" ref="D32:AB32" si="8">D10*D29</f>
        <v>3158012.8189763036</v>
      </c>
      <c r="E32" s="29">
        <f t="shared" si="8"/>
        <v>3027860.2462895471</v>
      </c>
      <c r="F32" s="29">
        <f t="shared" si="8"/>
        <v>2903071.7088832026</v>
      </c>
      <c r="G32" s="29">
        <f t="shared" si="8"/>
        <v>2783426.1364096338</v>
      </c>
      <c r="H32" s="29">
        <f t="shared" si="8"/>
        <v>2668711.5695907744</v>
      </c>
      <c r="I32" s="29">
        <f t="shared" si="8"/>
        <v>2558724.7847196022</v>
      </c>
      <c r="J32" s="29">
        <f t="shared" si="8"/>
        <v>2453270.9336372064</v>
      </c>
      <c r="K32" s="29">
        <f t="shared" si="8"/>
        <v>2352163.1985476362</v>
      </c>
      <c r="L32" s="29">
        <f t="shared" si="8"/>
        <v>2255222.4610590148</v>
      </c>
      <c r="M32" s="29">
        <f t="shared" si="8"/>
        <v>2162276.9848646089</v>
      </c>
      <c r="N32" s="29">
        <f t="shared" si="8"/>
        <v>2073162.1115017082</v>
      </c>
      <c r="O32" s="29">
        <f t="shared" si="8"/>
        <v>1987719.968649317</v>
      </c>
      <c r="P32" s="29">
        <f t="shared" si="8"/>
        <v>1905799.1904479132</v>
      </c>
      <c r="Q32" s="29">
        <f t="shared" si="8"/>
        <v>1827254.6493457847</v>
      </c>
      <c r="R32" s="29">
        <f t="shared" si="8"/>
        <v>1751947.1989969027</v>
      </c>
      <c r="S32" s="29">
        <f t="shared" si="8"/>
        <v>1679743.4277548597</v>
      </c>
      <c r="T32" s="29">
        <f t="shared" si="8"/>
        <v>1610515.4223261694</v>
      </c>
      <c r="U32" s="29">
        <f t="shared" si="8"/>
        <v>1544140.541164225</v>
      </c>
      <c r="V32" s="29">
        <f t="shared" si="8"/>
        <v>1480501.1972024767</v>
      </c>
      <c r="W32" s="29">
        <f t="shared" si="8"/>
        <v>1419484.649541917</v>
      </c>
      <c r="X32" s="29">
        <f t="shared" si="8"/>
        <v>1360982.8037238473</v>
      </c>
      <c r="Y32" s="29">
        <f t="shared" si="8"/>
        <v>1304892.0202340849</v>
      </c>
      <c r="Z32" s="29">
        <f t="shared" si="8"/>
        <v>1251112.9308993756</v>
      </c>
      <c r="AA32" s="29">
        <f t="shared" si="8"/>
        <v>1199550.2628507363</v>
      </c>
      <c r="AB32" s="29">
        <f t="shared" si="8"/>
        <v>1150112.6697418818</v>
      </c>
    </row>
    <row r="35" spans="1:2" x14ac:dyDescent="0.2">
      <c r="A35" s="32" t="s">
        <v>255</v>
      </c>
      <c r="B35" s="33"/>
    </row>
    <row r="36" spans="1:2" x14ac:dyDescent="0.2">
      <c r="A36" s="9" t="s">
        <v>256</v>
      </c>
      <c r="B36" s="34">
        <f>SUM(C30:AB30)</f>
        <v>63457758.236512899</v>
      </c>
    </row>
    <row r="37" spans="1:2" x14ac:dyDescent="0.2">
      <c r="A37" s="9" t="s">
        <v>257</v>
      </c>
      <c r="B37" s="35">
        <f>B36/1000000</f>
        <v>63.457758236512902</v>
      </c>
    </row>
    <row r="38" spans="1:2" x14ac:dyDescent="0.2">
      <c r="A38" s="9" t="s">
        <v>258</v>
      </c>
      <c r="B38" s="36">
        <f>IRR(C28:AB28)</f>
        <v>4.9112779469298706E-2</v>
      </c>
    </row>
    <row r="39" spans="1:2" x14ac:dyDescent="0.2">
      <c r="A39" s="9" t="s">
        <v>259</v>
      </c>
      <c r="B39" s="37">
        <f>COUNTIF(C31:AB31,"&lt;0")</f>
        <v>15</v>
      </c>
    </row>
    <row r="40" spans="1:2" x14ac:dyDescent="0.2">
      <c r="A40" s="9" t="s">
        <v>260</v>
      </c>
      <c r="B40" s="38">
        <f>(-SUM(C26:AB26)-SUM(C27:AB27)+SUMPRODUCT(C19:AB19,C29:AB29))/SUM(C32:AB32)</f>
        <v>53.817553040601631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40"/>
  <sheetViews>
    <sheetView showGridLines="0" zoomScaleNormal="100" workbookViewId="0"/>
  </sheetViews>
  <sheetFormatPr baseColWidth="10" defaultColWidth="8.6640625" defaultRowHeight="15" x14ac:dyDescent="0.2"/>
  <cols>
    <col min="1" max="1" width="30" customWidth="1"/>
    <col min="2" max="2" width="12.6640625" bestFit="1" customWidth="1"/>
    <col min="3" max="3" width="13" customWidth="1"/>
    <col min="4" max="28" width="12" customWidth="1"/>
  </cols>
  <sheetData>
    <row r="1" spans="1:28" ht="18" x14ac:dyDescent="0.2">
      <c r="A1" s="18" t="s">
        <v>287</v>
      </c>
    </row>
    <row r="2" spans="1:28" x14ac:dyDescent="0.2">
      <c r="A2" s="6"/>
    </row>
    <row r="4" spans="1:28" x14ac:dyDescent="0.2">
      <c r="A4" s="24" t="s">
        <v>227</v>
      </c>
      <c r="C4" s="25">
        <f>Assumptions!$B$35-1</f>
        <v>2020</v>
      </c>
      <c r="D4" s="25">
        <f>Assumptions!$B$35+0</f>
        <v>2021</v>
      </c>
      <c r="E4" s="25">
        <f>Assumptions!$B$35+1</f>
        <v>2022</v>
      </c>
      <c r="F4" s="25">
        <f>Assumptions!$B$35+2</f>
        <v>2023</v>
      </c>
      <c r="G4" s="25">
        <f>Assumptions!$B$35+3</f>
        <v>2024</v>
      </c>
      <c r="H4" s="25">
        <f>Assumptions!$B$35+4</f>
        <v>2025</v>
      </c>
      <c r="I4" s="25">
        <f>Assumptions!$B$35+5</f>
        <v>2026</v>
      </c>
      <c r="J4" s="25">
        <f>Assumptions!$B$35+6</f>
        <v>2027</v>
      </c>
      <c r="K4" s="25">
        <f>Assumptions!$B$35+7</f>
        <v>2028</v>
      </c>
      <c r="L4" s="25">
        <f>Assumptions!$B$35+8</f>
        <v>2029</v>
      </c>
      <c r="M4" s="25">
        <f>Assumptions!$B$35+9</f>
        <v>2030</v>
      </c>
      <c r="N4" s="25">
        <f>Assumptions!$B$35+10</f>
        <v>2031</v>
      </c>
      <c r="O4" s="25">
        <f>Assumptions!$B$35+11</f>
        <v>2032</v>
      </c>
      <c r="P4" s="25">
        <f>Assumptions!$B$35+12</f>
        <v>2033</v>
      </c>
      <c r="Q4" s="25">
        <f>Assumptions!$B$35+13</f>
        <v>2034</v>
      </c>
      <c r="R4" s="25">
        <f>Assumptions!$B$35+14</f>
        <v>2035</v>
      </c>
      <c r="S4" s="25">
        <f>Assumptions!$B$35+15</f>
        <v>2036</v>
      </c>
      <c r="T4" s="25">
        <f>Assumptions!$B$35+16</f>
        <v>2037</v>
      </c>
      <c r="U4" s="25">
        <f>Assumptions!$B$35+17</f>
        <v>2038</v>
      </c>
      <c r="V4" s="25">
        <f>Assumptions!$B$35+18</f>
        <v>2039</v>
      </c>
      <c r="W4" s="25">
        <f>Assumptions!$B$35+19</f>
        <v>2040</v>
      </c>
      <c r="X4" s="25">
        <f>Assumptions!$B$35+20</f>
        <v>2041</v>
      </c>
      <c r="Y4" s="25">
        <f>Assumptions!$B$35+21</f>
        <v>2042</v>
      </c>
      <c r="Z4" s="25">
        <f>Assumptions!$B$35+22</f>
        <v>2043</v>
      </c>
      <c r="AA4" s="25">
        <f>Assumptions!$B$35+23</f>
        <v>2044</v>
      </c>
      <c r="AB4" s="25">
        <f>Assumptions!$B$35+24</f>
        <v>2045</v>
      </c>
    </row>
    <row r="5" spans="1:28" x14ac:dyDescent="0.2">
      <c r="A5" s="24" t="s">
        <v>228</v>
      </c>
      <c r="C5" s="26">
        <v>0</v>
      </c>
      <c r="D5" s="26">
        <v>1</v>
      </c>
      <c r="E5" s="26">
        <v>2</v>
      </c>
      <c r="F5" s="26">
        <v>3</v>
      </c>
      <c r="G5" s="26">
        <v>4</v>
      </c>
      <c r="H5" s="26">
        <v>5</v>
      </c>
      <c r="I5" s="26">
        <v>6</v>
      </c>
      <c r="J5" s="26">
        <v>7</v>
      </c>
      <c r="K5" s="26">
        <v>8</v>
      </c>
      <c r="L5" s="26">
        <v>9</v>
      </c>
      <c r="M5" s="26">
        <v>10</v>
      </c>
      <c r="N5" s="26">
        <v>11</v>
      </c>
      <c r="O5" s="26">
        <v>12</v>
      </c>
      <c r="P5" s="26">
        <v>13</v>
      </c>
      <c r="Q5" s="26">
        <v>14</v>
      </c>
      <c r="R5" s="26">
        <v>15</v>
      </c>
      <c r="S5" s="26">
        <v>16</v>
      </c>
      <c r="T5" s="26">
        <v>17</v>
      </c>
      <c r="U5" s="26">
        <v>18</v>
      </c>
      <c r="V5" s="26">
        <v>19</v>
      </c>
      <c r="W5" s="26">
        <v>20</v>
      </c>
      <c r="X5" s="26">
        <v>21</v>
      </c>
      <c r="Y5" s="26">
        <v>22</v>
      </c>
      <c r="Z5" s="26">
        <v>23</v>
      </c>
      <c r="AA5" s="26">
        <v>24</v>
      </c>
      <c r="AB5" s="26">
        <v>25</v>
      </c>
    </row>
    <row r="6" spans="1:28" x14ac:dyDescent="0.2">
      <c r="A6" s="24" t="s">
        <v>229</v>
      </c>
      <c r="C6" s="26">
        <v>0</v>
      </c>
      <c r="D6" s="26">
        <f>IF(D5&lt;=Assumptions!$B$24,1,0)</f>
        <v>1</v>
      </c>
      <c r="E6" s="26">
        <f>IF(E5&lt;=Assumptions!$B$24,1,0)</f>
        <v>1</v>
      </c>
      <c r="F6" s="26">
        <f>IF(F5&lt;=Assumptions!$B$24,1,0)</f>
        <v>1</v>
      </c>
      <c r="G6" s="26">
        <f>IF(G5&lt;=Assumptions!$B$24,1,0)</f>
        <v>1</v>
      </c>
      <c r="H6" s="26">
        <f>IF(H5&lt;=Assumptions!$B$24,1,0)</f>
        <v>1</v>
      </c>
      <c r="I6" s="26">
        <f>IF(I5&lt;=Assumptions!$B$24,1,0)</f>
        <v>1</v>
      </c>
      <c r="J6" s="26">
        <f>IF(J5&lt;=Assumptions!$B$24,1,0)</f>
        <v>1</v>
      </c>
      <c r="K6" s="26">
        <f>IF(K5&lt;=Assumptions!$B$24,1,0)</f>
        <v>1</v>
      </c>
      <c r="L6" s="26">
        <f>IF(L5&lt;=Assumptions!$B$24,1,0)</f>
        <v>1</v>
      </c>
      <c r="M6" s="26">
        <f>IF(M5&lt;=Assumptions!$B$24,1,0)</f>
        <v>1</v>
      </c>
      <c r="N6" s="26">
        <f>IF(N5&lt;=Assumptions!$B$24,1,0)</f>
        <v>1</v>
      </c>
      <c r="O6" s="26">
        <f>IF(O5&lt;=Assumptions!$B$24,1,0)</f>
        <v>1</v>
      </c>
      <c r="P6" s="26">
        <f>IF(P5&lt;=Assumptions!$B$24,1,0)</f>
        <v>1</v>
      </c>
      <c r="Q6" s="26">
        <f>IF(Q5&lt;=Assumptions!$B$24,1,0)</f>
        <v>1</v>
      </c>
      <c r="R6" s="26">
        <f>IF(R5&lt;=Assumptions!$B$24,1,0)</f>
        <v>1</v>
      </c>
      <c r="S6" s="26">
        <f>IF(S5&lt;=Assumptions!$B$24,1,0)</f>
        <v>0</v>
      </c>
      <c r="T6" s="26">
        <f>IF(T5&lt;=Assumptions!$B$24,1,0)</f>
        <v>0</v>
      </c>
      <c r="U6" s="26">
        <f>IF(U5&lt;=Assumptions!$B$24,1,0)</f>
        <v>0</v>
      </c>
      <c r="V6" s="26">
        <f>IF(V5&lt;=Assumptions!$B$24,1,0)</f>
        <v>0</v>
      </c>
      <c r="W6" s="26">
        <f>IF(W5&lt;=Assumptions!$B$24,1,0)</f>
        <v>0</v>
      </c>
      <c r="X6" s="26">
        <f>IF(X5&lt;=Assumptions!$B$24,1,0)</f>
        <v>0</v>
      </c>
      <c r="Y6" s="26">
        <f>IF(Y5&lt;=Assumptions!$B$24,1,0)</f>
        <v>0</v>
      </c>
      <c r="Z6" s="26">
        <f>IF(Z5&lt;=Assumptions!$B$24,1,0)</f>
        <v>0</v>
      </c>
      <c r="AA6" s="26">
        <f>IF(AA5&lt;=Assumptions!$B$24,1,0)</f>
        <v>0</v>
      </c>
      <c r="AB6" s="26">
        <f>IF(AB5&lt;=Assumptions!$B$24,1,0)</f>
        <v>0</v>
      </c>
    </row>
    <row r="8" spans="1:28" x14ac:dyDescent="0.2">
      <c r="A8" s="8" t="s">
        <v>230</v>
      </c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 spans="1:28" x14ac:dyDescent="0.2">
      <c r="A9" s="21" t="s">
        <v>231</v>
      </c>
      <c r="C9" s="28">
        <v>0</v>
      </c>
      <c r="D9" s="28">
        <f>(1-Assumptions!$B$10)^(D5-1)</f>
        <v>1</v>
      </c>
      <c r="E9" s="28">
        <f>(1-Assumptions!$B$10)^(E5-1)</f>
        <v>1</v>
      </c>
      <c r="F9" s="28">
        <f>(1-Assumptions!$B$10)^(F5-1)</f>
        <v>1</v>
      </c>
      <c r="G9" s="28">
        <f>(1-Assumptions!$B$10)^(G5-1)</f>
        <v>1</v>
      </c>
      <c r="H9" s="28">
        <f>(1-Assumptions!$B$10)^(H5-1)</f>
        <v>1</v>
      </c>
      <c r="I9" s="28">
        <f>(1-Assumptions!$B$10)^(I5-1)</f>
        <v>1</v>
      </c>
      <c r="J9" s="28">
        <f>(1-Assumptions!$B$10)^(J5-1)</f>
        <v>1</v>
      </c>
      <c r="K9" s="28">
        <f>(1-Assumptions!$B$10)^(K5-1)</f>
        <v>1</v>
      </c>
      <c r="L9" s="28">
        <f>(1-Assumptions!$B$10)^(L5-1)</f>
        <v>1</v>
      </c>
      <c r="M9" s="28">
        <f>(1-Assumptions!$B$10)^(M5-1)</f>
        <v>1</v>
      </c>
      <c r="N9" s="28">
        <f>(1-Assumptions!$B$10)^(N5-1)</f>
        <v>1</v>
      </c>
      <c r="O9" s="28">
        <f>(1-Assumptions!$B$10)^(O5-1)</f>
        <v>1</v>
      </c>
      <c r="P9" s="28">
        <f>(1-Assumptions!$B$10)^(P5-1)</f>
        <v>1</v>
      </c>
      <c r="Q9" s="28">
        <f>(1-Assumptions!$B$10)^(Q5-1)</f>
        <v>1</v>
      </c>
      <c r="R9" s="28">
        <f>(1-Assumptions!$B$10)^(R5-1)</f>
        <v>1</v>
      </c>
      <c r="S9" s="28">
        <f>(1-Assumptions!$B$10)^(S5-1)</f>
        <v>1</v>
      </c>
      <c r="T9" s="28">
        <f>(1-Assumptions!$B$10)^(T5-1)</f>
        <v>1</v>
      </c>
      <c r="U9" s="28">
        <f>(1-Assumptions!$B$10)^(U5-1)</f>
        <v>1</v>
      </c>
      <c r="V9" s="28">
        <f>(1-Assumptions!$B$10)^(V5-1)</f>
        <v>1</v>
      </c>
      <c r="W9" s="28">
        <f>(1-Assumptions!$B$10)^(W5-1)</f>
        <v>1</v>
      </c>
      <c r="X9" s="28">
        <f>(1-Assumptions!$B$10)^(X5-1)</f>
        <v>1</v>
      </c>
      <c r="Y9" s="28">
        <f>(1-Assumptions!$B$10)^(Y5-1)</f>
        <v>1</v>
      </c>
      <c r="Z9" s="28">
        <f>(1-Assumptions!$B$10)^(Z5-1)</f>
        <v>1</v>
      </c>
      <c r="AA9" s="28">
        <f>(1-Assumptions!$B$10)^(AA5-1)</f>
        <v>1</v>
      </c>
      <c r="AB9" s="28">
        <f>(1-Assumptions!$B$10)^(AB5-1)</f>
        <v>1</v>
      </c>
    </row>
    <row r="10" spans="1:28" x14ac:dyDescent="0.2">
      <c r="A10" s="21" t="s">
        <v>232</v>
      </c>
      <c r="C10" s="29">
        <v>0</v>
      </c>
      <c r="D10" s="29">
        <f>Assumptions!$B$9*D9</f>
        <v>3293760</v>
      </c>
      <c r="E10" s="29">
        <f>Assumptions!$B$9*E9</f>
        <v>3293760</v>
      </c>
      <c r="F10" s="29">
        <f>Assumptions!$B$9*F9</f>
        <v>3293760</v>
      </c>
      <c r="G10" s="29">
        <f>Assumptions!$B$9*G9</f>
        <v>3293760</v>
      </c>
      <c r="H10" s="29">
        <f>Assumptions!$B$9*H9</f>
        <v>3293760</v>
      </c>
      <c r="I10" s="29">
        <f>Assumptions!$B$9*I9</f>
        <v>3293760</v>
      </c>
      <c r="J10" s="29">
        <f>Assumptions!$B$9*J9</f>
        <v>3293760</v>
      </c>
      <c r="K10" s="29">
        <f>Assumptions!$B$9*K9</f>
        <v>3293760</v>
      </c>
      <c r="L10" s="29">
        <f>Assumptions!$B$9*L9</f>
        <v>3293760</v>
      </c>
      <c r="M10" s="29">
        <f>Assumptions!$B$9*M9</f>
        <v>3293760</v>
      </c>
      <c r="N10" s="29">
        <f>Assumptions!$B$9*N9</f>
        <v>3293760</v>
      </c>
      <c r="O10" s="29">
        <f>Assumptions!$B$9*O9</f>
        <v>3293760</v>
      </c>
      <c r="P10" s="29">
        <f>Assumptions!$B$9*P9</f>
        <v>3293760</v>
      </c>
      <c r="Q10" s="29">
        <f>Assumptions!$B$9*Q9</f>
        <v>3293760</v>
      </c>
      <c r="R10" s="29">
        <f>Assumptions!$B$9*R9</f>
        <v>3293760</v>
      </c>
      <c r="S10" s="29">
        <f>Assumptions!$B$9*S9</f>
        <v>3293760</v>
      </c>
      <c r="T10" s="29">
        <f>Assumptions!$B$9*T9</f>
        <v>3293760</v>
      </c>
      <c r="U10" s="29">
        <f>Assumptions!$B$9*U9</f>
        <v>3293760</v>
      </c>
      <c r="V10" s="29">
        <f>Assumptions!$B$9*V9</f>
        <v>3293760</v>
      </c>
      <c r="W10" s="29">
        <f>Assumptions!$B$9*W9</f>
        <v>3293760</v>
      </c>
      <c r="X10" s="29">
        <f>Assumptions!$B$9*X9</f>
        <v>3293760</v>
      </c>
      <c r="Y10" s="29">
        <f>Assumptions!$B$9*Y9</f>
        <v>3293760</v>
      </c>
      <c r="Z10" s="29">
        <f>Assumptions!$B$9*Z9</f>
        <v>3293760</v>
      </c>
      <c r="AA10" s="29">
        <f>Assumptions!$B$9*AA9</f>
        <v>3293760</v>
      </c>
      <c r="AB10" s="29">
        <f>Assumptions!$B$9*AB9</f>
        <v>3293760</v>
      </c>
    </row>
    <row r="11" spans="1:28" x14ac:dyDescent="0.2">
      <c r="A11" s="8" t="s">
        <v>233</v>
      </c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 spans="1:28" x14ac:dyDescent="0.2">
      <c r="A12" s="21" t="s">
        <v>234</v>
      </c>
      <c r="C12" s="30">
        <v>0</v>
      </c>
      <c r="D12" s="39">
        <f>IFERROR(VLOOKUP(D4,'Price Data'!$E$5:$F$16,2,FALSE()),Assumptions!$B$26)</f>
        <v>102.64833333333333</v>
      </c>
      <c r="E12" s="39">
        <f>IFERROR(VLOOKUP(E4,'Price Data'!$E$5:$F$16,2,FALSE()),Assumptions!$B$26)</f>
        <v>241.20416666666665</v>
      </c>
      <c r="F12" s="39">
        <f>IFERROR(VLOOKUP(F4,'Price Data'!$E$5:$F$16,2,FALSE()),Assumptions!$B$26)</f>
        <v>96.134166666666658</v>
      </c>
      <c r="G12" s="39">
        <f>IFERROR(VLOOKUP(G4,'Price Data'!$E$5:$F$16,2,FALSE()),Assumptions!$B$26)</f>
        <v>77.239166666666662</v>
      </c>
      <c r="H12" s="39">
        <f>IFERROR(VLOOKUP(H4,'Price Data'!$E$5:$F$16,2,FALSE()),Assumptions!$B$26)</f>
        <v>87.55</v>
      </c>
      <c r="I12" s="39">
        <f>IFERROR(VLOOKUP(I4,'Price Data'!$E$5:$F$16,2,FALSE()),Assumptions!$B$26)</f>
        <v>96.497142857142848</v>
      </c>
      <c r="J12" s="39">
        <f>IFERROR(VLOOKUP(J4,'Price Data'!$E$5:$F$16,2,FALSE()),Assumptions!$B$26)</f>
        <v>80</v>
      </c>
      <c r="K12" s="39">
        <f>IFERROR(VLOOKUP(K4,'Price Data'!$E$5:$F$16,2,FALSE()),Assumptions!$B$26)</f>
        <v>80</v>
      </c>
      <c r="L12" s="39">
        <f>IFERROR(VLOOKUP(L4,'Price Data'!$E$5:$F$16,2,FALSE()),Assumptions!$B$26)</f>
        <v>80</v>
      </c>
      <c r="M12" s="39">
        <f>IFERROR(VLOOKUP(M4,'Price Data'!$E$5:$F$16,2,FALSE()),Assumptions!$B$26)</f>
        <v>80</v>
      </c>
      <c r="N12" s="39">
        <f>IFERROR(VLOOKUP(N4,'Price Data'!$E$5:$F$16,2,FALSE()),Assumptions!$B$26)</f>
        <v>80</v>
      </c>
      <c r="O12" s="39">
        <f>IFERROR(VLOOKUP(O4,'Price Data'!$E$5:$F$16,2,FALSE()),Assumptions!$B$26)</f>
        <v>80</v>
      </c>
      <c r="P12" s="39">
        <f>IFERROR(VLOOKUP(P4,'Price Data'!$E$5:$F$16,2,FALSE()),Assumptions!$B$26)</f>
        <v>80</v>
      </c>
      <c r="Q12" s="39">
        <f>IFERROR(VLOOKUP(Q4,'Price Data'!$E$5:$F$16,2,FALSE()),Assumptions!$B$26)</f>
        <v>80</v>
      </c>
      <c r="R12" s="39">
        <f>IFERROR(VLOOKUP(R4,'Price Data'!$E$5:$F$16,2,FALSE()),Assumptions!$B$26)</f>
        <v>80</v>
      </c>
      <c r="S12" s="39">
        <f>IFERROR(VLOOKUP(S4,'Price Data'!$E$5:$F$16,2,FALSE()),Assumptions!$B$26)</f>
        <v>80</v>
      </c>
      <c r="T12" s="39">
        <f>IFERROR(VLOOKUP(T4,'Price Data'!$E$5:$F$16,2,FALSE()),Assumptions!$B$26)</f>
        <v>80</v>
      </c>
      <c r="U12" s="39">
        <f>IFERROR(VLOOKUP(U4,'Price Data'!$E$5:$F$16,2,FALSE()),Assumptions!$B$26)</f>
        <v>80</v>
      </c>
      <c r="V12" s="39">
        <f>IFERROR(VLOOKUP(V4,'Price Data'!$E$5:$F$16,2,FALSE()),Assumptions!$B$26)</f>
        <v>80</v>
      </c>
      <c r="W12" s="39">
        <f>IFERROR(VLOOKUP(W4,'Price Data'!$E$5:$F$16,2,FALSE()),Assumptions!$B$26)</f>
        <v>80</v>
      </c>
      <c r="X12" s="39">
        <f>IFERROR(VLOOKUP(X4,'Price Data'!$E$5:$F$16,2,FALSE()),Assumptions!$B$26)</f>
        <v>80</v>
      </c>
      <c r="Y12" s="39">
        <f>IFERROR(VLOOKUP(Y4,'Price Data'!$E$5:$F$16,2,FALSE()),Assumptions!$B$26)</f>
        <v>80</v>
      </c>
      <c r="Z12" s="39">
        <f>IFERROR(VLOOKUP(Z4,'Price Data'!$E$5:$F$16,2,FALSE()),Assumptions!$B$26)</f>
        <v>80</v>
      </c>
      <c r="AA12" s="39">
        <f>IFERROR(VLOOKUP(AA4,'Price Data'!$E$5:$F$16,2,FALSE()),Assumptions!$B$26)</f>
        <v>80</v>
      </c>
      <c r="AB12" s="39">
        <f>IFERROR(VLOOKUP(AB4,'Price Data'!$E$5:$F$16,2,FALSE()),Assumptions!$B$26)</f>
        <v>80</v>
      </c>
    </row>
    <row r="13" spans="1:28" x14ac:dyDescent="0.2">
      <c r="A13" s="21" t="s">
        <v>235</v>
      </c>
      <c r="C13" s="30">
        <v>0</v>
      </c>
      <c r="D13" s="30">
        <f>IF(D6=1,MAX(0,Assumptions!$B$22-MAX(D12,Assumptions!$B$23)),0)</f>
        <v>0</v>
      </c>
      <c r="E13" s="30">
        <f>IF(E6=1,MAX(0,Assumptions!$B$22-MAX(E12,Assumptions!$B$23)),0)</f>
        <v>0</v>
      </c>
      <c r="F13" s="30">
        <f>IF(F6=1,MAX(0,Assumptions!$B$22-MAX(F12,Assumptions!$B$23)),0)</f>
        <v>0</v>
      </c>
      <c r="G13" s="30">
        <f>IF(G6=1,MAX(0,Assumptions!$B$22-MAX(G12,Assumptions!$B$23)),0)</f>
        <v>0</v>
      </c>
      <c r="H13" s="30">
        <f>IF(H6=1,MAX(0,Assumptions!$B$22-MAX(H12,Assumptions!$B$23)),0)</f>
        <v>0</v>
      </c>
      <c r="I13" s="30">
        <f>IF(I6=1,MAX(0,Assumptions!$B$22-MAX(I12,Assumptions!$B$23)),0)</f>
        <v>0</v>
      </c>
      <c r="J13" s="30">
        <f>IF(J6=1,MAX(0,Assumptions!$B$22-MAX(J12,Assumptions!$B$23)),0)</f>
        <v>0</v>
      </c>
      <c r="K13" s="30">
        <f>IF(K6=1,MAX(0,Assumptions!$B$22-MAX(K12,Assumptions!$B$23)),0)</f>
        <v>0</v>
      </c>
      <c r="L13" s="30">
        <f>IF(L6=1,MAX(0,Assumptions!$B$22-MAX(L12,Assumptions!$B$23)),0)</f>
        <v>0</v>
      </c>
      <c r="M13" s="30">
        <f>IF(M6=1,MAX(0,Assumptions!$B$22-MAX(M12,Assumptions!$B$23)),0)</f>
        <v>0</v>
      </c>
      <c r="N13" s="30">
        <f>IF(N6=1,MAX(0,Assumptions!$B$22-MAX(N12,Assumptions!$B$23)),0)</f>
        <v>0</v>
      </c>
      <c r="O13" s="30">
        <f>IF(O6=1,MAX(0,Assumptions!$B$22-MAX(O12,Assumptions!$B$23)),0)</f>
        <v>0</v>
      </c>
      <c r="P13" s="30">
        <f>IF(P6=1,MAX(0,Assumptions!$B$22-MAX(P12,Assumptions!$B$23)),0)</f>
        <v>0</v>
      </c>
      <c r="Q13" s="30">
        <f>IF(Q6=1,MAX(0,Assumptions!$B$22-MAX(Q12,Assumptions!$B$23)),0)</f>
        <v>0</v>
      </c>
      <c r="R13" s="30">
        <f>IF(R6=1,MAX(0,Assumptions!$B$22-MAX(R12,Assumptions!$B$23)),0)</f>
        <v>0</v>
      </c>
      <c r="S13" s="30">
        <f>IF(S6=1,MAX(0,Assumptions!$B$22-MAX(S12,Assumptions!$B$23)),0)</f>
        <v>0</v>
      </c>
      <c r="T13" s="30">
        <f>IF(T6=1,MAX(0,Assumptions!$B$22-MAX(T12,Assumptions!$B$23)),0)</f>
        <v>0</v>
      </c>
      <c r="U13" s="30">
        <f>IF(U6=1,MAX(0,Assumptions!$B$22-MAX(U12,Assumptions!$B$23)),0)</f>
        <v>0</v>
      </c>
      <c r="V13" s="30">
        <f>IF(V6=1,MAX(0,Assumptions!$B$22-MAX(V12,Assumptions!$B$23)),0)</f>
        <v>0</v>
      </c>
      <c r="W13" s="30">
        <f>IF(W6=1,MAX(0,Assumptions!$B$22-MAX(W12,Assumptions!$B$23)),0)</f>
        <v>0</v>
      </c>
      <c r="X13" s="30">
        <f>IF(X6=1,MAX(0,Assumptions!$B$22-MAX(X12,Assumptions!$B$23)),0)</f>
        <v>0</v>
      </c>
      <c r="Y13" s="30">
        <f>IF(Y6=1,MAX(0,Assumptions!$B$22-MAX(Y12,Assumptions!$B$23)),0)</f>
        <v>0</v>
      </c>
      <c r="Z13" s="30">
        <f>IF(Z6=1,MAX(0,Assumptions!$B$22-MAX(Z12,Assumptions!$B$23)),0)</f>
        <v>0</v>
      </c>
      <c r="AA13" s="30">
        <f>IF(AA6=1,MAX(0,Assumptions!$B$22-MAX(AA12,Assumptions!$B$23)),0)</f>
        <v>0</v>
      </c>
      <c r="AB13" s="30">
        <f>IF(AB6=1,MAX(0,Assumptions!$B$22-MAX(AB12,Assumptions!$B$23)),0)</f>
        <v>0</v>
      </c>
    </row>
    <row r="14" spans="1:28" x14ac:dyDescent="0.2">
      <c r="A14" s="21" t="s">
        <v>236</v>
      </c>
      <c r="C14" s="30">
        <v>0</v>
      </c>
      <c r="D14" s="30">
        <f t="shared" ref="D14:AB14" si="0">D12+D13</f>
        <v>102.64833333333333</v>
      </c>
      <c r="E14" s="30">
        <f t="shared" si="0"/>
        <v>241.20416666666665</v>
      </c>
      <c r="F14" s="30">
        <f t="shared" si="0"/>
        <v>96.134166666666658</v>
      </c>
      <c r="G14" s="30">
        <f t="shared" si="0"/>
        <v>77.239166666666662</v>
      </c>
      <c r="H14" s="30">
        <f t="shared" si="0"/>
        <v>87.55</v>
      </c>
      <c r="I14" s="30">
        <f t="shared" si="0"/>
        <v>96.497142857142848</v>
      </c>
      <c r="J14" s="30">
        <f t="shared" si="0"/>
        <v>80</v>
      </c>
      <c r="K14" s="30">
        <f t="shared" si="0"/>
        <v>80</v>
      </c>
      <c r="L14" s="30">
        <f t="shared" si="0"/>
        <v>80</v>
      </c>
      <c r="M14" s="30">
        <f t="shared" si="0"/>
        <v>80</v>
      </c>
      <c r="N14" s="30">
        <f t="shared" si="0"/>
        <v>80</v>
      </c>
      <c r="O14" s="30">
        <f t="shared" si="0"/>
        <v>80</v>
      </c>
      <c r="P14" s="30">
        <f t="shared" si="0"/>
        <v>80</v>
      </c>
      <c r="Q14" s="30">
        <f t="shared" si="0"/>
        <v>80</v>
      </c>
      <c r="R14" s="30">
        <f t="shared" si="0"/>
        <v>80</v>
      </c>
      <c r="S14" s="30">
        <f t="shared" si="0"/>
        <v>80</v>
      </c>
      <c r="T14" s="30">
        <f t="shared" si="0"/>
        <v>80</v>
      </c>
      <c r="U14" s="30">
        <f t="shared" si="0"/>
        <v>80</v>
      </c>
      <c r="V14" s="30">
        <f t="shared" si="0"/>
        <v>80</v>
      </c>
      <c r="W14" s="30">
        <f t="shared" si="0"/>
        <v>80</v>
      </c>
      <c r="X14" s="30">
        <f t="shared" si="0"/>
        <v>80</v>
      </c>
      <c r="Y14" s="30">
        <f t="shared" si="0"/>
        <v>80</v>
      </c>
      <c r="Z14" s="30">
        <f t="shared" si="0"/>
        <v>80</v>
      </c>
      <c r="AA14" s="30">
        <f t="shared" si="0"/>
        <v>80</v>
      </c>
      <c r="AB14" s="30">
        <f t="shared" si="0"/>
        <v>80</v>
      </c>
    </row>
    <row r="15" spans="1:28" x14ac:dyDescent="0.2">
      <c r="A15" s="21" t="s">
        <v>237</v>
      </c>
      <c r="C15" s="31">
        <v>0</v>
      </c>
      <c r="D15" s="31">
        <f t="shared" ref="D15:AB15" si="1">D10*D14</f>
        <v>338098974.39999998</v>
      </c>
      <c r="E15" s="31">
        <f t="shared" si="1"/>
        <v>794468636</v>
      </c>
      <c r="F15" s="31">
        <f t="shared" si="1"/>
        <v>316642872.79999995</v>
      </c>
      <c r="G15" s="31">
        <f t="shared" si="1"/>
        <v>254407277.59999999</v>
      </c>
      <c r="H15" s="31">
        <f t="shared" si="1"/>
        <v>288368688</v>
      </c>
      <c r="I15" s="31">
        <f t="shared" si="1"/>
        <v>317838429.25714284</v>
      </c>
      <c r="J15" s="31">
        <f t="shared" si="1"/>
        <v>263500800</v>
      </c>
      <c r="K15" s="31">
        <f t="shared" si="1"/>
        <v>263500800</v>
      </c>
      <c r="L15" s="31">
        <f t="shared" si="1"/>
        <v>263500800</v>
      </c>
      <c r="M15" s="31">
        <f t="shared" si="1"/>
        <v>263500800</v>
      </c>
      <c r="N15" s="31">
        <f t="shared" si="1"/>
        <v>263500800</v>
      </c>
      <c r="O15" s="31">
        <f t="shared" si="1"/>
        <v>263500800</v>
      </c>
      <c r="P15" s="31">
        <f t="shared" si="1"/>
        <v>263500800</v>
      </c>
      <c r="Q15" s="31">
        <f t="shared" si="1"/>
        <v>263500800</v>
      </c>
      <c r="R15" s="31">
        <f t="shared" si="1"/>
        <v>263500800</v>
      </c>
      <c r="S15" s="31">
        <f t="shared" si="1"/>
        <v>263500800</v>
      </c>
      <c r="T15" s="31">
        <f t="shared" si="1"/>
        <v>263500800</v>
      </c>
      <c r="U15" s="31">
        <f t="shared" si="1"/>
        <v>263500800</v>
      </c>
      <c r="V15" s="31">
        <f t="shared" si="1"/>
        <v>263500800</v>
      </c>
      <c r="W15" s="31">
        <f t="shared" si="1"/>
        <v>263500800</v>
      </c>
      <c r="X15" s="31">
        <f t="shared" si="1"/>
        <v>263500800</v>
      </c>
      <c r="Y15" s="31">
        <f t="shared" si="1"/>
        <v>263500800</v>
      </c>
      <c r="Z15" s="31">
        <f t="shared" si="1"/>
        <v>263500800</v>
      </c>
      <c r="AA15" s="31">
        <f t="shared" si="1"/>
        <v>263500800</v>
      </c>
      <c r="AB15" s="31">
        <f t="shared" si="1"/>
        <v>263500800</v>
      </c>
    </row>
    <row r="16" spans="1:28" x14ac:dyDescent="0.2">
      <c r="A16" s="8" t="s">
        <v>238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 spans="1:28" x14ac:dyDescent="0.2">
      <c r="A17" s="21" t="s">
        <v>239</v>
      </c>
      <c r="C17" s="31">
        <v>0</v>
      </c>
      <c r="D17" s="31">
        <f>Assumptions!$B$18*(1+Assumptions!$B$20)^(D5-1)*D10</f>
        <v>31587158.399999999</v>
      </c>
      <c r="E17" s="31">
        <f>Assumptions!$B$18*(1+Assumptions!$B$20)^(E5-1)*E10</f>
        <v>32218901.568</v>
      </c>
      <c r="F17" s="31">
        <f>Assumptions!$B$18*(1+Assumptions!$B$20)^(F5-1)*F10</f>
        <v>32863279.599359997</v>
      </c>
      <c r="G17" s="31">
        <f>Assumptions!$B$18*(1+Assumptions!$B$20)^(G5-1)*G10</f>
        <v>33520545.191347193</v>
      </c>
      <c r="H17" s="31">
        <f>Assumptions!$B$18*(1+Assumptions!$B$20)^(H5-1)*H10</f>
        <v>34190956.095174141</v>
      </c>
      <c r="I17" s="31">
        <f>Assumptions!$B$18*(1+Assumptions!$B$20)^(I5-1)*I10</f>
        <v>34874775.217077628</v>
      </c>
      <c r="J17" s="31">
        <f>Assumptions!$B$18*(1+Assumptions!$B$20)^(J5-1)*J10</f>
        <v>35572270.721419178</v>
      </c>
      <c r="K17" s="31">
        <f>Assumptions!$B$18*(1+Assumptions!$B$20)^(K5-1)*K10</f>
        <v>36283716.135847554</v>
      </c>
      <c r="L17" s="31">
        <f>Assumptions!$B$18*(1+Assumptions!$B$20)^(L5-1)*L10</f>
        <v>37009390.458564512</v>
      </c>
      <c r="M17" s="31">
        <f>Assumptions!$B$18*(1+Assumptions!$B$20)^(M5-1)*M10</f>
        <v>37749578.267735802</v>
      </c>
      <c r="N17" s="31">
        <f>Assumptions!$B$18*(1+Assumptions!$B$20)^(N5-1)*N10</f>
        <v>38504569.833090514</v>
      </c>
      <c r="O17" s="31">
        <f>Assumptions!$B$18*(1+Assumptions!$B$20)^(O5-1)*O10</f>
        <v>39274661.229752325</v>
      </c>
      <c r="P17" s="31">
        <f>Assumptions!$B$18*(1+Assumptions!$B$20)^(P5-1)*P10</f>
        <v>40060154.454347372</v>
      </c>
      <c r="Q17" s="31">
        <f>Assumptions!$B$18*(1+Assumptions!$B$20)^(Q5-1)*Q10</f>
        <v>40861357.543434322</v>
      </c>
      <c r="R17" s="31">
        <f>Assumptions!$B$18*(1+Assumptions!$B$20)^(R5-1)*R10</f>
        <v>41678584.694303013</v>
      </c>
      <c r="S17" s="31">
        <f>Assumptions!$B$18*(1+Assumptions!$B$20)^(S5-1)*S10</f>
        <v>42512156.388189055</v>
      </c>
      <c r="T17" s="31">
        <f>Assumptions!$B$18*(1+Assumptions!$B$20)^(T5-1)*T10</f>
        <v>43362399.515952848</v>
      </c>
      <c r="U17" s="31">
        <f>Assumptions!$B$18*(1+Assumptions!$B$20)^(U5-1)*U10</f>
        <v>44229647.506271914</v>
      </c>
      <c r="V17" s="31">
        <f>Assumptions!$B$18*(1+Assumptions!$B$20)^(V5-1)*V10</f>
        <v>45114240.45639734</v>
      </c>
      <c r="W17" s="31">
        <f>Assumptions!$B$18*(1+Assumptions!$B$20)^(W5-1)*W10</f>
        <v>46016525.265525289</v>
      </c>
      <c r="X17" s="31">
        <f>Assumptions!$B$18*(1+Assumptions!$B$20)^(X5-1)*X10</f>
        <v>46936855.770835802</v>
      </c>
      <c r="Y17" s="31">
        <f>Assumptions!$B$18*(1+Assumptions!$B$20)^(Y5-1)*Y10</f>
        <v>47875592.886252508</v>
      </c>
      <c r="Z17" s="31">
        <f>Assumptions!$B$18*(1+Assumptions!$B$20)^(Z5-1)*Z10</f>
        <v>48833104.743977562</v>
      </c>
      <c r="AA17" s="31">
        <f>Assumptions!$B$18*(1+Assumptions!$B$20)^(AA5-1)*AA10</f>
        <v>49809766.838857099</v>
      </c>
      <c r="AB17" s="31">
        <f>Assumptions!$B$18*(1+Assumptions!$B$20)^(AB5-1)*AB10</f>
        <v>50805962.17563425</v>
      </c>
    </row>
    <row r="18" spans="1:28" x14ac:dyDescent="0.2">
      <c r="A18" s="21" t="s">
        <v>240</v>
      </c>
      <c r="C18" s="31">
        <v>0</v>
      </c>
      <c r="D18" s="31">
        <f>Assumptions!$B$19*(1+Assumptions!$B$20)^(D5-1)*Assumptions!$B$6</f>
        <v>30343200</v>
      </c>
      <c r="E18" s="31">
        <f>Assumptions!$B$19*(1+Assumptions!$B$20)^(E5-1)*Assumptions!$B$6</f>
        <v>30950064</v>
      </c>
      <c r="F18" s="31">
        <f>Assumptions!$B$19*(1+Assumptions!$B$20)^(F5-1)*Assumptions!$B$6</f>
        <v>31569065.280000001</v>
      </c>
      <c r="G18" s="31">
        <f>Assumptions!$B$19*(1+Assumptions!$B$20)^(G5-1)*Assumptions!$B$6</f>
        <v>32200446.5856</v>
      </c>
      <c r="H18" s="31">
        <f>Assumptions!$B$19*(1+Assumptions!$B$20)^(H5-1)*Assumptions!$B$6</f>
        <v>32844455.517311998</v>
      </c>
      <c r="I18" s="31">
        <f>Assumptions!$B$19*(1+Assumptions!$B$20)^(I5-1)*Assumptions!$B$6</f>
        <v>33501344.62765824</v>
      </c>
      <c r="J18" s="31">
        <f>Assumptions!$B$19*(1+Assumptions!$B$20)^(J5-1)*Assumptions!$B$6</f>
        <v>34171371.520211406</v>
      </c>
      <c r="K18" s="31">
        <f>Assumptions!$B$19*(1+Assumptions!$B$20)^(K5-1)*Assumptions!$B$6</f>
        <v>34854798.95061563</v>
      </c>
      <c r="L18" s="31">
        <f>Assumptions!$B$19*(1+Assumptions!$B$20)^(L5-1)*Assumptions!$B$6</f>
        <v>35551894.929627948</v>
      </c>
      <c r="M18" s="31">
        <f>Assumptions!$B$19*(1+Assumptions!$B$20)^(M5-1)*Assumptions!$B$6</f>
        <v>36262932.828220502</v>
      </c>
      <c r="N18" s="31">
        <f>Assumptions!$B$19*(1+Assumptions!$B$20)^(N5-1)*Assumptions!$B$6</f>
        <v>36988191.484784909</v>
      </c>
      <c r="O18" s="31">
        <f>Assumptions!$B$19*(1+Assumptions!$B$20)^(O5-1)*Assumptions!$B$6</f>
        <v>37727955.314480603</v>
      </c>
      <c r="P18" s="31">
        <f>Assumptions!$B$19*(1+Assumptions!$B$20)^(P5-1)*Assumptions!$B$6</f>
        <v>38482514.42077022</v>
      </c>
      <c r="Q18" s="31">
        <f>Assumptions!$B$19*(1+Assumptions!$B$20)^(Q5-1)*Assumptions!$B$6</f>
        <v>39252164.70918563</v>
      </c>
      <c r="R18" s="31">
        <f>Assumptions!$B$19*(1+Assumptions!$B$20)^(R5-1)*Assumptions!$B$6</f>
        <v>40037208.003369339</v>
      </c>
      <c r="S18" s="31">
        <f>Assumptions!$B$19*(1+Assumptions!$B$20)^(S5-1)*Assumptions!$B$6</f>
        <v>40837952.163436718</v>
      </c>
      <c r="T18" s="31">
        <f>Assumptions!$B$19*(1+Assumptions!$B$20)^(T5-1)*Assumptions!$B$6</f>
        <v>41654711.206705458</v>
      </c>
      <c r="U18" s="31">
        <f>Assumptions!$B$19*(1+Assumptions!$B$20)^(U5-1)*Assumptions!$B$6</f>
        <v>42487805.430839576</v>
      </c>
      <c r="V18" s="31">
        <f>Assumptions!$B$19*(1+Assumptions!$B$20)^(V5-1)*Assumptions!$B$6</f>
        <v>43337561.539456353</v>
      </c>
      <c r="W18" s="31">
        <f>Assumptions!$B$19*(1+Assumptions!$B$20)^(W5-1)*Assumptions!$B$6</f>
        <v>44204312.770245485</v>
      </c>
      <c r="X18" s="31">
        <f>Assumptions!$B$19*(1+Assumptions!$B$20)^(X5-1)*Assumptions!$B$6</f>
        <v>45088399.025650404</v>
      </c>
      <c r="Y18" s="31">
        <f>Assumptions!$B$19*(1+Assumptions!$B$20)^(Y5-1)*Assumptions!$B$6</f>
        <v>45990167.006163403</v>
      </c>
      <c r="Z18" s="31">
        <f>Assumptions!$B$19*(1+Assumptions!$B$20)^(Z5-1)*Assumptions!$B$6</f>
        <v>46909970.346286677</v>
      </c>
      <c r="AA18" s="31">
        <f>Assumptions!$B$19*(1+Assumptions!$B$20)^(AA5-1)*Assumptions!$B$6</f>
        <v>47848169.753212392</v>
      </c>
      <c r="AB18" s="31">
        <f>Assumptions!$B$19*(1+Assumptions!$B$20)^(AB5-1)*Assumptions!$B$6</f>
        <v>48805133.148276649</v>
      </c>
    </row>
    <row r="19" spans="1:28" x14ac:dyDescent="0.2">
      <c r="A19" s="21" t="s">
        <v>241</v>
      </c>
      <c r="C19" s="31">
        <v>0</v>
      </c>
      <c r="D19" s="31">
        <f t="shared" ref="D19:AB19" si="2">D17+D18</f>
        <v>61930358.399999999</v>
      </c>
      <c r="E19" s="31">
        <f t="shared" si="2"/>
        <v>63168965.568000004</v>
      </c>
      <c r="F19" s="31">
        <f t="shared" si="2"/>
        <v>64432344.879359998</v>
      </c>
      <c r="G19" s="31">
        <f t="shared" si="2"/>
        <v>65720991.776947193</v>
      </c>
      <c r="H19" s="31">
        <f t="shared" si="2"/>
        <v>67035411.612486139</v>
      </c>
      <c r="I19" s="31">
        <f t="shared" si="2"/>
        <v>68376119.844735861</v>
      </c>
      <c r="J19" s="31">
        <f t="shared" si="2"/>
        <v>69743642.241630584</v>
      </c>
      <c r="K19" s="31">
        <f t="shared" si="2"/>
        <v>71138515.086463183</v>
      </c>
      <c r="L19" s="31">
        <f t="shared" si="2"/>
        <v>72561285.38819246</v>
      </c>
      <c r="M19" s="31">
        <f t="shared" si="2"/>
        <v>74012511.095956296</v>
      </c>
      <c r="N19" s="31">
        <f t="shared" si="2"/>
        <v>75492761.317875415</v>
      </c>
      <c r="O19" s="31">
        <f t="shared" si="2"/>
        <v>77002616.544232935</v>
      </c>
      <c r="P19" s="31">
        <f t="shared" si="2"/>
        <v>78542668.8751176</v>
      </c>
      <c r="Q19" s="31">
        <f t="shared" si="2"/>
        <v>80113522.252619952</v>
      </c>
      <c r="R19" s="31">
        <f t="shared" si="2"/>
        <v>81715792.697672352</v>
      </c>
      <c r="S19" s="31">
        <f t="shared" si="2"/>
        <v>83350108.551625773</v>
      </c>
      <c r="T19" s="31">
        <f t="shared" si="2"/>
        <v>85017110.722658306</v>
      </c>
      <c r="U19" s="31">
        <f t="shared" si="2"/>
        <v>86717452.937111497</v>
      </c>
      <c r="V19" s="31">
        <f t="shared" si="2"/>
        <v>88451801.995853692</v>
      </c>
      <c r="W19" s="31">
        <f t="shared" si="2"/>
        <v>90220838.035770774</v>
      </c>
      <c r="X19" s="31">
        <f t="shared" si="2"/>
        <v>92025254.796486199</v>
      </c>
      <c r="Y19" s="31">
        <f t="shared" si="2"/>
        <v>93865759.892415911</v>
      </c>
      <c r="Z19" s="31">
        <f t="shared" si="2"/>
        <v>95743075.090264231</v>
      </c>
      <c r="AA19" s="31">
        <f t="shared" si="2"/>
        <v>97657936.592069492</v>
      </c>
      <c r="AB19" s="31">
        <f t="shared" si="2"/>
        <v>99611095.323910892</v>
      </c>
    </row>
    <row r="20" spans="1:28" x14ac:dyDescent="0.2">
      <c r="A20" s="8" t="s">
        <v>242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</row>
    <row r="21" spans="1:28" x14ac:dyDescent="0.2">
      <c r="A21" s="21" t="s">
        <v>243</v>
      </c>
      <c r="C21" s="31">
        <v>0</v>
      </c>
      <c r="D21" s="31">
        <f t="shared" ref="D21:AB21" si="3">D15-D19</f>
        <v>276168616</v>
      </c>
      <c r="E21" s="31">
        <f t="shared" si="3"/>
        <v>731299670.43200004</v>
      </c>
      <c r="F21" s="31">
        <f t="shared" si="3"/>
        <v>252210527.92063996</v>
      </c>
      <c r="G21" s="31">
        <f t="shared" si="3"/>
        <v>188686285.82305279</v>
      </c>
      <c r="H21" s="31">
        <f t="shared" si="3"/>
        <v>221333276.38751388</v>
      </c>
      <c r="I21" s="31">
        <f t="shared" si="3"/>
        <v>249462309.41240698</v>
      </c>
      <c r="J21" s="31">
        <f t="shared" si="3"/>
        <v>193757157.75836942</v>
      </c>
      <c r="K21" s="31">
        <f t="shared" si="3"/>
        <v>192362284.91353682</v>
      </c>
      <c r="L21" s="31">
        <f t="shared" si="3"/>
        <v>190939514.61180753</v>
      </c>
      <c r="M21" s="31">
        <f t="shared" si="3"/>
        <v>189488288.9040437</v>
      </c>
      <c r="N21" s="31">
        <f t="shared" si="3"/>
        <v>188008038.68212458</v>
      </c>
      <c r="O21" s="31">
        <f t="shared" si="3"/>
        <v>186498183.45576707</v>
      </c>
      <c r="P21" s="31">
        <f t="shared" si="3"/>
        <v>184958131.1248824</v>
      </c>
      <c r="Q21" s="31">
        <f t="shared" si="3"/>
        <v>183387277.74738005</v>
      </c>
      <c r="R21" s="31">
        <f t="shared" si="3"/>
        <v>181785007.30232763</v>
      </c>
      <c r="S21" s="31">
        <f t="shared" si="3"/>
        <v>180150691.44837421</v>
      </c>
      <c r="T21" s="31">
        <f t="shared" si="3"/>
        <v>178483689.27734169</v>
      </c>
      <c r="U21" s="31">
        <f t="shared" si="3"/>
        <v>176783347.0628885</v>
      </c>
      <c r="V21" s="31">
        <f t="shared" si="3"/>
        <v>175048998.00414631</v>
      </c>
      <c r="W21" s="31">
        <f t="shared" si="3"/>
        <v>173279961.96422923</v>
      </c>
      <c r="X21" s="31">
        <f t="shared" si="3"/>
        <v>171475545.2035138</v>
      </c>
      <c r="Y21" s="31">
        <f t="shared" si="3"/>
        <v>169635040.10758409</v>
      </c>
      <c r="Z21" s="31">
        <f t="shared" si="3"/>
        <v>167757724.90973577</v>
      </c>
      <c r="AA21" s="31">
        <f t="shared" si="3"/>
        <v>165842863.40793049</v>
      </c>
      <c r="AB21" s="31">
        <f t="shared" si="3"/>
        <v>163889704.67608911</v>
      </c>
    </row>
    <row r="22" spans="1:28" x14ac:dyDescent="0.2">
      <c r="A22" s="21" t="s">
        <v>244</v>
      </c>
      <c r="C22" s="31">
        <v>0</v>
      </c>
      <c r="D22" s="31">
        <f>Assumptions!$B$13/Assumptions!$B$36</f>
        <v>59640000</v>
      </c>
      <c r="E22" s="31">
        <f>Assumptions!$B$13/Assumptions!$B$36</f>
        <v>59640000</v>
      </c>
      <c r="F22" s="31">
        <f>Assumptions!$B$13/Assumptions!$B$36</f>
        <v>59640000</v>
      </c>
      <c r="G22" s="31">
        <f>Assumptions!$B$13/Assumptions!$B$36</f>
        <v>59640000</v>
      </c>
      <c r="H22" s="31">
        <f>Assumptions!$B$13/Assumptions!$B$36</f>
        <v>59640000</v>
      </c>
      <c r="I22" s="31">
        <f>Assumptions!$B$13/Assumptions!$B$36</f>
        <v>59640000</v>
      </c>
      <c r="J22" s="31">
        <f>Assumptions!$B$13/Assumptions!$B$36</f>
        <v>59640000</v>
      </c>
      <c r="K22" s="31">
        <f>Assumptions!$B$13/Assumptions!$B$36</f>
        <v>59640000</v>
      </c>
      <c r="L22" s="31">
        <f>Assumptions!$B$13/Assumptions!$B$36</f>
        <v>59640000</v>
      </c>
      <c r="M22" s="31">
        <f>Assumptions!$B$13/Assumptions!$B$36</f>
        <v>59640000</v>
      </c>
      <c r="N22" s="31">
        <f>Assumptions!$B$13/Assumptions!$B$36</f>
        <v>59640000</v>
      </c>
      <c r="O22" s="31">
        <f>Assumptions!$B$13/Assumptions!$B$36</f>
        <v>59640000</v>
      </c>
      <c r="P22" s="31">
        <f>Assumptions!$B$13/Assumptions!$B$36</f>
        <v>59640000</v>
      </c>
      <c r="Q22" s="31">
        <f>Assumptions!$B$13/Assumptions!$B$36</f>
        <v>59640000</v>
      </c>
      <c r="R22" s="31">
        <f>Assumptions!$B$13/Assumptions!$B$36</f>
        <v>59640000</v>
      </c>
      <c r="S22" s="31">
        <f>Assumptions!$B$13/Assumptions!$B$36</f>
        <v>59640000</v>
      </c>
      <c r="T22" s="31">
        <f>Assumptions!$B$13/Assumptions!$B$36</f>
        <v>59640000</v>
      </c>
      <c r="U22" s="31">
        <f>Assumptions!$B$13/Assumptions!$B$36</f>
        <v>59640000</v>
      </c>
      <c r="V22" s="31">
        <f>Assumptions!$B$13/Assumptions!$B$36</f>
        <v>59640000</v>
      </c>
      <c r="W22" s="31">
        <f>Assumptions!$B$13/Assumptions!$B$36</f>
        <v>59640000</v>
      </c>
      <c r="X22" s="31">
        <f>Assumptions!$B$13/Assumptions!$B$36</f>
        <v>59640000</v>
      </c>
      <c r="Y22" s="31">
        <f>Assumptions!$B$13/Assumptions!$B$36</f>
        <v>59640000</v>
      </c>
      <c r="Z22" s="31">
        <f>Assumptions!$B$13/Assumptions!$B$36</f>
        <v>59640000</v>
      </c>
      <c r="AA22" s="31">
        <f>Assumptions!$B$13/Assumptions!$B$36</f>
        <v>59640000</v>
      </c>
      <c r="AB22" s="31">
        <f>Assumptions!$B$13/Assumptions!$B$36</f>
        <v>59640000</v>
      </c>
    </row>
    <row r="23" spans="1:28" x14ac:dyDescent="0.2">
      <c r="A23" s="21" t="s">
        <v>245</v>
      </c>
      <c r="C23" s="31">
        <v>0</v>
      </c>
      <c r="D23" s="31">
        <f t="shared" ref="D23:AB23" si="4">D21-D22</f>
        <v>216528616</v>
      </c>
      <c r="E23" s="31">
        <f t="shared" si="4"/>
        <v>671659670.43200004</v>
      </c>
      <c r="F23" s="31">
        <f t="shared" si="4"/>
        <v>192570527.92063996</v>
      </c>
      <c r="G23" s="31">
        <f t="shared" si="4"/>
        <v>129046285.82305279</v>
      </c>
      <c r="H23" s="31">
        <f t="shared" si="4"/>
        <v>161693276.38751388</v>
      </c>
      <c r="I23" s="31">
        <f t="shared" si="4"/>
        <v>189822309.41240698</v>
      </c>
      <c r="J23" s="31">
        <f t="shared" si="4"/>
        <v>134117157.75836942</v>
      </c>
      <c r="K23" s="31">
        <f t="shared" si="4"/>
        <v>132722284.91353682</v>
      </c>
      <c r="L23" s="31">
        <f t="shared" si="4"/>
        <v>131299514.61180753</v>
      </c>
      <c r="M23" s="31">
        <f t="shared" si="4"/>
        <v>129848288.9040437</v>
      </c>
      <c r="N23" s="31">
        <f t="shared" si="4"/>
        <v>128368038.68212458</v>
      </c>
      <c r="O23" s="31">
        <f t="shared" si="4"/>
        <v>126858183.45576707</v>
      </c>
      <c r="P23" s="31">
        <f t="shared" si="4"/>
        <v>125318131.1248824</v>
      </c>
      <c r="Q23" s="31">
        <f t="shared" si="4"/>
        <v>123747277.74738005</v>
      </c>
      <c r="R23" s="31">
        <f t="shared" si="4"/>
        <v>122145007.30232763</v>
      </c>
      <c r="S23" s="31">
        <f t="shared" si="4"/>
        <v>120510691.44837421</v>
      </c>
      <c r="T23" s="31">
        <f t="shared" si="4"/>
        <v>118843689.27734169</v>
      </c>
      <c r="U23" s="31">
        <f t="shared" si="4"/>
        <v>117143347.0628885</v>
      </c>
      <c r="V23" s="31">
        <f t="shared" si="4"/>
        <v>115408998.00414631</v>
      </c>
      <c r="W23" s="31">
        <f t="shared" si="4"/>
        <v>113639961.96422923</v>
      </c>
      <c r="X23" s="31">
        <f t="shared" si="4"/>
        <v>111835545.2035138</v>
      </c>
      <c r="Y23" s="31">
        <f t="shared" si="4"/>
        <v>109995040.10758409</v>
      </c>
      <c r="Z23" s="31">
        <f t="shared" si="4"/>
        <v>108117724.90973577</v>
      </c>
      <c r="AA23" s="31">
        <f t="shared" si="4"/>
        <v>106202863.40793049</v>
      </c>
      <c r="AB23" s="31">
        <f t="shared" si="4"/>
        <v>104249704.67608911</v>
      </c>
    </row>
    <row r="24" spans="1:28" x14ac:dyDescent="0.2">
      <c r="A24" s="21" t="s">
        <v>246</v>
      </c>
      <c r="C24" s="31">
        <v>0</v>
      </c>
      <c r="D24" s="31">
        <f>-MAX(0,D23*Assumptions!$B$32)</f>
        <v>-55864382.928000003</v>
      </c>
      <c r="E24" s="31">
        <f>-MAX(0,E23*Assumptions!$B$32)</f>
        <v>-173288194.97145602</v>
      </c>
      <c r="F24" s="31">
        <f>-MAX(0,F23*Assumptions!$B$32)</f>
        <v>-49683196.203525111</v>
      </c>
      <c r="G24" s="31">
        <f>-MAX(0,G23*Assumptions!$B$32)</f>
        <v>-33293941.74234762</v>
      </c>
      <c r="H24" s="31">
        <f>-MAX(0,H23*Assumptions!$B$32)</f>
        <v>-41716865.307978578</v>
      </c>
      <c r="I24" s="31">
        <f>-MAX(0,I23*Assumptions!$B$32)</f>
        <v>-48974155.828400999</v>
      </c>
      <c r="J24" s="31">
        <f>-MAX(0,J23*Assumptions!$B$32)</f>
        <v>-34602226.701659307</v>
      </c>
      <c r="K24" s="31">
        <f>-MAX(0,K23*Assumptions!$B$32)</f>
        <v>-34242349.507692501</v>
      </c>
      <c r="L24" s="31">
        <f>-MAX(0,L23*Assumptions!$B$32)</f>
        <v>-33875274.769846343</v>
      </c>
      <c r="M24" s="31">
        <f>-MAX(0,M23*Assumptions!$B$32)</f>
        <v>-33500858.537243277</v>
      </c>
      <c r="N24" s="31">
        <f>-MAX(0,N23*Assumptions!$B$32)</f>
        <v>-33118953.979988143</v>
      </c>
      <c r="O24" s="31">
        <f>-MAX(0,O23*Assumptions!$B$32)</f>
        <v>-32729411.331587903</v>
      </c>
      <c r="P24" s="31">
        <f>-MAX(0,P23*Assumptions!$B$32)</f>
        <v>-32332077.83021966</v>
      </c>
      <c r="Q24" s="31">
        <f>-MAX(0,Q23*Assumptions!$B$32)</f>
        <v>-31926797.658824053</v>
      </c>
      <c r="R24" s="31">
        <f>-MAX(0,R23*Assumptions!$B$32)</f>
        <v>-31513411.884000529</v>
      </c>
      <c r="S24" s="31">
        <f>-MAX(0,S23*Assumptions!$B$32)</f>
        <v>-31091758.393680546</v>
      </c>
      <c r="T24" s="31">
        <f>-MAX(0,T23*Assumptions!$B$32)</f>
        <v>-30661671.833554156</v>
      </c>
      <c r="U24" s="31">
        <f>-MAX(0,U23*Assumptions!$B$32)</f>
        <v>-30222983.542225234</v>
      </c>
      <c r="V24" s="31">
        <f>-MAX(0,V23*Assumptions!$B$32)</f>
        <v>-29775521.485069748</v>
      </c>
      <c r="W24" s="31">
        <f>-MAX(0,W23*Assumptions!$B$32)</f>
        <v>-29319110.18677114</v>
      </c>
      <c r="X24" s="31">
        <f>-MAX(0,X23*Assumptions!$B$32)</f>
        <v>-28853570.662506562</v>
      </c>
      <c r="Y24" s="31">
        <f>-MAX(0,Y23*Assumptions!$B$32)</f>
        <v>-28378720.347756695</v>
      </c>
      <c r="Z24" s="31">
        <f>-MAX(0,Z23*Assumptions!$B$32)</f>
        <v>-27894373.026711829</v>
      </c>
      <c r="AA24" s="31">
        <f>-MAX(0,AA23*Assumptions!$B$32)</f>
        <v>-27400338.759246066</v>
      </c>
      <c r="AB24" s="31">
        <f>-MAX(0,AB23*Assumptions!$B$32)</f>
        <v>-26896423.806430992</v>
      </c>
    </row>
    <row r="25" spans="1:28" x14ac:dyDescent="0.2">
      <c r="A25" s="8" t="s">
        <v>247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 spans="1:28" x14ac:dyDescent="0.2">
      <c r="A26" s="21" t="s">
        <v>248</v>
      </c>
      <c r="C26" s="31">
        <f>-Assumptions!$B$13</f>
        <v>-1491000000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  <c r="O26" s="31">
        <v>0</v>
      </c>
      <c r="P26" s="31">
        <v>0</v>
      </c>
      <c r="Q26" s="31">
        <v>0</v>
      </c>
      <c r="R26" s="31">
        <v>0</v>
      </c>
      <c r="S26" s="31">
        <v>0</v>
      </c>
      <c r="T26" s="31">
        <v>0</v>
      </c>
      <c r="U26" s="31">
        <v>0</v>
      </c>
      <c r="V26" s="31">
        <v>0</v>
      </c>
      <c r="W26" s="31">
        <v>0</v>
      </c>
      <c r="X26" s="31">
        <v>0</v>
      </c>
      <c r="Y26" s="31">
        <v>0</v>
      </c>
      <c r="Z26" s="31">
        <v>0</v>
      </c>
      <c r="AA26" s="31">
        <v>0</v>
      </c>
      <c r="AB26" s="31">
        <v>0</v>
      </c>
    </row>
    <row r="27" spans="1:28" x14ac:dyDescent="0.2">
      <c r="A27" s="21" t="s">
        <v>249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0</v>
      </c>
      <c r="P27" s="31">
        <v>0</v>
      </c>
      <c r="Q27" s="31">
        <v>0</v>
      </c>
      <c r="R27" s="31">
        <v>0</v>
      </c>
      <c r="S27" s="31">
        <v>0</v>
      </c>
      <c r="T27" s="31">
        <v>0</v>
      </c>
      <c r="U27" s="31">
        <v>0</v>
      </c>
      <c r="V27" s="31">
        <v>0</v>
      </c>
      <c r="W27" s="31">
        <v>0</v>
      </c>
      <c r="X27" s="31">
        <v>0</v>
      </c>
      <c r="Y27" s="31">
        <v>0</v>
      </c>
      <c r="Z27" s="31">
        <v>0</v>
      </c>
      <c r="AA27" s="31">
        <v>0</v>
      </c>
      <c r="AB27" s="31">
        <f>-Assumptions!$B$16</f>
        <v>-42000000</v>
      </c>
    </row>
    <row r="28" spans="1:28" x14ac:dyDescent="0.2">
      <c r="A28" s="21" t="s">
        <v>250</v>
      </c>
      <c r="C28" s="31">
        <f>C26+C27</f>
        <v>-1491000000</v>
      </c>
      <c r="D28" s="31">
        <f t="shared" ref="D28:AB28" si="5">D21+D24+D26+D27</f>
        <v>220304233.072</v>
      </c>
      <c r="E28" s="31">
        <f t="shared" si="5"/>
        <v>558011475.46054399</v>
      </c>
      <c r="F28" s="31">
        <f t="shared" si="5"/>
        <v>202527331.71711487</v>
      </c>
      <c r="G28" s="31">
        <f t="shared" si="5"/>
        <v>155392344.08070517</v>
      </c>
      <c r="H28" s="31">
        <f t="shared" si="5"/>
        <v>179616411.07953531</v>
      </c>
      <c r="I28" s="31">
        <f t="shared" si="5"/>
        <v>200488153.58400598</v>
      </c>
      <c r="J28" s="31">
        <f t="shared" si="5"/>
        <v>159154931.05671012</v>
      </c>
      <c r="K28" s="31">
        <f t="shared" si="5"/>
        <v>158119935.40584433</v>
      </c>
      <c r="L28" s="31">
        <f t="shared" si="5"/>
        <v>157064239.84196118</v>
      </c>
      <c r="M28" s="31">
        <f t="shared" si="5"/>
        <v>155987430.36680043</v>
      </c>
      <c r="N28" s="31">
        <f t="shared" si="5"/>
        <v>154889084.70213646</v>
      </c>
      <c r="O28" s="31">
        <f t="shared" si="5"/>
        <v>153768772.12417915</v>
      </c>
      <c r="P28" s="31">
        <f t="shared" si="5"/>
        <v>152626053.29466274</v>
      </c>
      <c r="Q28" s="31">
        <f t="shared" si="5"/>
        <v>151460480.08855599</v>
      </c>
      <c r="R28" s="31">
        <f t="shared" si="5"/>
        <v>150271595.41832709</v>
      </c>
      <c r="S28" s="31">
        <f t="shared" si="5"/>
        <v>149058933.05469367</v>
      </c>
      <c r="T28" s="31">
        <f t="shared" si="5"/>
        <v>147822017.44378754</v>
      </c>
      <c r="U28" s="31">
        <f t="shared" si="5"/>
        <v>146560363.52066326</v>
      </c>
      <c r="V28" s="31">
        <f t="shared" si="5"/>
        <v>145273476.51907656</v>
      </c>
      <c r="W28" s="31">
        <f t="shared" si="5"/>
        <v>143960851.77745807</v>
      </c>
      <c r="X28" s="31">
        <f t="shared" si="5"/>
        <v>142621974.54100725</v>
      </c>
      <c r="Y28" s="31">
        <f t="shared" si="5"/>
        <v>141256319.75982741</v>
      </c>
      <c r="Z28" s="31">
        <f t="shared" si="5"/>
        <v>139863351.88302395</v>
      </c>
      <c r="AA28" s="31">
        <f t="shared" si="5"/>
        <v>138442524.64868444</v>
      </c>
      <c r="AB28" s="31">
        <f t="shared" si="5"/>
        <v>94993280.869658113</v>
      </c>
    </row>
    <row r="29" spans="1:28" x14ac:dyDescent="0.2">
      <c r="A29" s="21" t="s">
        <v>251</v>
      </c>
      <c r="C29" s="28">
        <v>1</v>
      </c>
      <c r="D29" s="28">
        <f>1/(1+Assumptions!$B$33)^D5</f>
        <v>0.95878655973000571</v>
      </c>
      <c r="E29" s="28">
        <f>1/(1+Assumptions!$B$33)^E5</f>
        <v>0.91927166711889963</v>
      </c>
      <c r="F29" s="28">
        <f>1/(1+Assumptions!$B$33)^F5</f>
        <v>0.88138531917419682</v>
      </c>
      <c r="G29" s="28">
        <f>1/(1+Assumptions!$B$33)^G5</f>
        <v>0.84506039796756105</v>
      </c>
      <c r="H29" s="28">
        <f>1/(1+Assumptions!$B$33)^H5</f>
        <v>0.81023255173138731</v>
      </c>
      <c r="I29" s="28">
        <f>1/(1+Assumptions!$B$33)^I5</f>
        <v>0.7768400808558007</v>
      </c>
      <c r="J29" s="28">
        <f>1/(1+Assumptions!$B$33)^J5</f>
        <v>0.74482382858411256</v>
      </c>
      <c r="K29" s="28">
        <f>1/(1+Assumptions!$B$33)^K5</f>
        <v>0.71412707621309268</v>
      </c>
      <c r="L29" s="28">
        <f>1/(1+Assumptions!$B$33)^L5</f>
        <v>0.68469544261239879</v>
      </c>
      <c r="M29" s="28">
        <f>1/(1+Assumptions!$B$33)^M5</f>
        <v>0.65647678788515529</v>
      </c>
      <c r="N29" s="28">
        <f>1/(1+Assumptions!$B$33)^N5</f>
        <v>0.62942112099901271</v>
      </c>
      <c r="O29" s="28">
        <f>1/(1+Assumptions!$B$33)^O5</f>
        <v>0.603480511224047</v>
      </c>
      <c r="P29" s="28">
        <f>1/(1+Assumptions!$B$33)^P5</f>
        <v>0.57860900322060904</v>
      </c>
      <c r="Q29" s="28">
        <f>1/(1+Assumptions!$B$33)^Q5</f>
        <v>0.55476253562669553</v>
      </c>
      <c r="R29" s="28">
        <f>1/(1+Assumptions!$B$33)^R5</f>
        <v>0.53189886300061406</v>
      </c>
      <c r="S29" s="28">
        <f>1/(1+Assumptions!$B$33)^S5</f>
        <v>0.50997748098066031</v>
      </c>
      <c r="T29" s="28">
        <f>1/(1+Assumptions!$B$33)^T5</f>
        <v>0.48895955452922174</v>
      </c>
      <c r="U29" s="28">
        <f>1/(1+Assumptions!$B$33)^U5</f>
        <v>0.4688078491341886</v>
      </c>
      <c r="V29" s="28">
        <f>1/(1+Assumptions!$B$33)^V5</f>
        <v>0.44948666484579225</v>
      </c>
      <c r="W29" s="28">
        <f>1/(1+Assumptions!$B$33)^W5</f>
        <v>0.43096177303201116</v>
      </c>
      <c r="X29" s="28">
        <f>1/(1+Assumptions!$B$33)^X5</f>
        <v>0.41320035574050545</v>
      </c>
      <c r="Y29" s="28">
        <f>1/(1+Assumptions!$B$33)^Y5</f>
        <v>0.39617094755965371</v>
      </c>
      <c r="Z29" s="28">
        <f>1/(1+Assumptions!$B$33)^Z5</f>
        <v>0.37984337987569694</v>
      </c>
      <c r="AA29" s="28">
        <f>1/(1+Assumptions!$B$33)^AA5</f>
        <v>0.36418872742723707</v>
      </c>
      <c r="AB29" s="28">
        <f>1/(1+Assumptions!$B$33)^AB5</f>
        <v>0.34917925706240943</v>
      </c>
    </row>
    <row r="30" spans="1:28" x14ac:dyDescent="0.2">
      <c r="A30" s="21" t="s">
        <v>252</v>
      </c>
      <c r="C30" s="31">
        <f t="shared" ref="C30:AB30" si="6">C28*C29</f>
        <v>-1491000000</v>
      </c>
      <c r="D30" s="31">
        <f t="shared" si="6"/>
        <v>211224737.72106022</v>
      </c>
      <c r="E30" s="31">
        <f t="shared" si="6"/>
        <v>512964139.31809121</v>
      </c>
      <c r="F30" s="31">
        <f t="shared" si="6"/>
        <v>178504616.90698773</v>
      </c>
      <c r="G30" s="31">
        <f t="shared" si="6"/>
        <v>131315916.12995289</v>
      </c>
      <c r="H30" s="31">
        <f t="shared" si="6"/>
        <v>145531063.08180571</v>
      </c>
      <c r="I30" s="31">
        <f t="shared" si="6"/>
        <v>155747233.4408294</v>
      </c>
      <c r="J30" s="31">
        <f t="shared" si="6"/>
        <v>118542385.08769931</v>
      </c>
      <c r="K30" s="31">
        <f t="shared" si="6"/>
        <v>112917727.16237868</v>
      </c>
      <c r="L30" s="31">
        <f t="shared" si="6"/>
        <v>107541169.21717156</v>
      </c>
      <c r="M30" s="31">
        <f t="shared" si="6"/>
        <v>102402127.23765647</v>
      </c>
      <c r="N30" s="31">
        <f t="shared" si="6"/>
        <v>97490461.323729753</v>
      </c>
      <c r="O30" s="31">
        <f t="shared" si="6"/>
        <v>92796457.211793616</v>
      </c>
      <c r="P30" s="31">
        <f t="shared" si="6"/>
        <v>88310808.562320367</v>
      </c>
      <c r="Q30" s="31">
        <f t="shared" si="6"/>
        <v>84024599.981163949</v>
      </c>
      <c r="R30" s="31">
        <f t="shared" si="6"/>
        <v>79929290.744296461</v>
      </c>
      <c r="S30" s="31">
        <f t="shared" si="6"/>
        <v>76016699.196897566</v>
      </c>
      <c r="T30" s="31">
        <f t="shared" si="6"/>
        <v>72278987.798925206</v>
      </c>
      <c r="U30" s="31">
        <f t="shared" si="6"/>
        <v>68708648.790446937</v>
      </c>
      <c r="V30" s="31">
        <f t="shared" si="6"/>
        <v>65298490.451113231</v>
      </c>
      <c r="W30" s="31">
        <f t="shared" si="6"/>
        <v>62041623.929211885</v>
      </c>
      <c r="X30" s="31">
        <f t="shared" si="6"/>
        <v>58931450.616757505</v>
      </c>
      <c r="Y30" s="31">
        <f t="shared" si="6"/>
        <v>55961650.048040256</v>
      </c>
      <c r="Z30" s="31">
        <f t="shared" si="6"/>
        <v>53126168.299991742</v>
      </c>
      <c r="AA30" s="31">
        <f t="shared" si="6"/>
        <v>50419206.87361829</v>
      </c>
      <c r="AB30" s="31">
        <f t="shared" si="6"/>
        <v>33169683.23998801</v>
      </c>
    </row>
    <row r="31" spans="1:28" x14ac:dyDescent="0.2">
      <c r="A31" s="21" t="s">
        <v>253</v>
      </c>
      <c r="C31" s="31">
        <f>C30</f>
        <v>-1491000000</v>
      </c>
      <c r="D31" s="31">
        <f t="shared" ref="D31:AB31" si="7">C31+D30</f>
        <v>-1279775262.2789397</v>
      </c>
      <c r="E31" s="31">
        <f t="shared" si="7"/>
        <v>-766811122.96084857</v>
      </c>
      <c r="F31" s="31">
        <f t="shared" si="7"/>
        <v>-588306506.0538609</v>
      </c>
      <c r="G31" s="31">
        <f t="shared" si="7"/>
        <v>-456990589.923908</v>
      </c>
      <c r="H31" s="31">
        <f t="shared" si="7"/>
        <v>-311459526.84210229</v>
      </c>
      <c r="I31" s="31">
        <f t="shared" si="7"/>
        <v>-155712293.40127289</v>
      </c>
      <c r="J31" s="31">
        <f t="shared" si="7"/>
        <v>-37169908.313573584</v>
      </c>
      <c r="K31" s="31">
        <f t="shared" si="7"/>
        <v>75747818.8488051</v>
      </c>
      <c r="L31" s="31">
        <f t="shared" si="7"/>
        <v>183288988.06597668</v>
      </c>
      <c r="M31" s="31">
        <f t="shared" si="7"/>
        <v>285691115.30363315</v>
      </c>
      <c r="N31" s="31">
        <f t="shared" si="7"/>
        <v>383181576.62736291</v>
      </c>
      <c r="O31" s="31">
        <f t="shared" si="7"/>
        <v>475978033.83915651</v>
      </c>
      <c r="P31" s="31">
        <f t="shared" si="7"/>
        <v>564288842.40147686</v>
      </c>
      <c r="Q31" s="31">
        <f t="shared" si="7"/>
        <v>648313442.38264084</v>
      </c>
      <c r="R31" s="31">
        <f t="shared" si="7"/>
        <v>728242733.12693727</v>
      </c>
      <c r="S31" s="31">
        <f t="shared" si="7"/>
        <v>804259432.3238349</v>
      </c>
      <c r="T31" s="31">
        <f t="shared" si="7"/>
        <v>876538420.12276006</v>
      </c>
      <c r="U31" s="31">
        <f t="shared" si="7"/>
        <v>945247068.91320705</v>
      </c>
      <c r="V31" s="31">
        <f t="shared" si="7"/>
        <v>1010545559.3643203</v>
      </c>
      <c r="W31" s="31">
        <f t="shared" si="7"/>
        <v>1072587183.2935321</v>
      </c>
      <c r="X31" s="31">
        <f t="shared" si="7"/>
        <v>1131518633.9102895</v>
      </c>
      <c r="Y31" s="31">
        <f t="shared" si="7"/>
        <v>1187480283.9583297</v>
      </c>
      <c r="Z31" s="31">
        <f t="shared" si="7"/>
        <v>1240606452.2583215</v>
      </c>
      <c r="AA31" s="31">
        <f t="shared" si="7"/>
        <v>1291025659.1319399</v>
      </c>
      <c r="AB31" s="31">
        <f t="shared" si="7"/>
        <v>1324195342.371928</v>
      </c>
    </row>
    <row r="32" spans="1:28" x14ac:dyDescent="0.2">
      <c r="A32" s="21" t="s">
        <v>254</v>
      </c>
      <c r="C32" s="29">
        <v>0</v>
      </c>
      <c r="D32" s="29">
        <f t="shared" ref="D32:AB32" si="8">D10*D29</f>
        <v>3158012.8189763036</v>
      </c>
      <c r="E32" s="29">
        <f t="shared" si="8"/>
        <v>3027860.2462895471</v>
      </c>
      <c r="F32" s="29">
        <f t="shared" si="8"/>
        <v>2903071.7088832026</v>
      </c>
      <c r="G32" s="29">
        <f t="shared" si="8"/>
        <v>2783426.1364096338</v>
      </c>
      <c r="H32" s="29">
        <f t="shared" si="8"/>
        <v>2668711.5695907744</v>
      </c>
      <c r="I32" s="29">
        <f t="shared" si="8"/>
        <v>2558724.7847196022</v>
      </c>
      <c r="J32" s="29">
        <f t="shared" si="8"/>
        <v>2453270.9336372064</v>
      </c>
      <c r="K32" s="29">
        <f t="shared" si="8"/>
        <v>2352163.1985476362</v>
      </c>
      <c r="L32" s="29">
        <f t="shared" si="8"/>
        <v>2255222.4610590148</v>
      </c>
      <c r="M32" s="29">
        <f t="shared" si="8"/>
        <v>2162276.9848646089</v>
      </c>
      <c r="N32" s="29">
        <f t="shared" si="8"/>
        <v>2073162.1115017082</v>
      </c>
      <c r="O32" s="29">
        <f t="shared" si="8"/>
        <v>1987719.968649317</v>
      </c>
      <c r="P32" s="29">
        <f t="shared" si="8"/>
        <v>1905799.1904479132</v>
      </c>
      <c r="Q32" s="29">
        <f t="shared" si="8"/>
        <v>1827254.6493457847</v>
      </c>
      <c r="R32" s="29">
        <f t="shared" si="8"/>
        <v>1751947.1989969027</v>
      </c>
      <c r="S32" s="29">
        <f t="shared" si="8"/>
        <v>1679743.4277548597</v>
      </c>
      <c r="T32" s="29">
        <f t="shared" si="8"/>
        <v>1610515.4223261694</v>
      </c>
      <c r="U32" s="29">
        <f t="shared" si="8"/>
        <v>1544140.541164225</v>
      </c>
      <c r="V32" s="29">
        <f t="shared" si="8"/>
        <v>1480501.1972024767</v>
      </c>
      <c r="W32" s="29">
        <f t="shared" si="8"/>
        <v>1419484.649541917</v>
      </c>
      <c r="X32" s="29">
        <f t="shared" si="8"/>
        <v>1360982.8037238473</v>
      </c>
      <c r="Y32" s="29">
        <f t="shared" si="8"/>
        <v>1304892.0202340849</v>
      </c>
      <c r="Z32" s="29">
        <f t="shared" si="8"/>
        <v>1251112.9308993756</v>
      </c>
      <c r="AA32" s="29">
        <f t="shared" si="8"/>
        <v>1199550.2628507363</v>
      </c>
      <c r="AB32" s="29">
        <f t="shared" si="8"/>
        <v>1150112.6697418818</v>
      </c>
    </row>
    <row r="35" spans="1:2" x14ac:dyDescent="0.2">
      <c r="A35" s="32" t="s">
        <v>255</v>
      </c>
      <c r="B35" s="33"/>
    </row>
    <row r="36" spans="1:2" x14ac:dyDescent="0.2">
      <c r="A36" s="9" t="s">
        <v>256</v>
      </c>
      <c r="B36" s="34">
        <f>SUM(C30:AB30)</f>
        <v>1324195342.371928</v>
      </c>
    </row>
    <row r="37" spans="1:2" x14ac:dyDescent="0.2">
      <c r="A37" s="9" t="s">
        <v>257</v>
      </c>
      <c r="B37" s="35">
        <f>B36/1000000</f>
        <v>1324.1953423719281</v>
      </c>
    </row>
    <row r="38" spans="1:2" x14ac:dyDescent="0.2">
      <c r="A38" s="9" t="s">
        <v>258</v>
      </c>
      <c r="B38" s="36">
        <f>IRR(C28:AB28)</f>
        <v>0.14000417901597495</v>
      </c>
    </row>
    <row r="39" spans="1:2" x14ac:dyDescent="0.2">
      <c r="A39" s="9" t="s">
        <v>259</v>
      </c>
      <c r="B39" s="37">
        <f>COUNTIF(C31:AB31,"&lt;0")</f>
        <v>8</v>
      </c>
    </row>
    <row r="40" spans="1:2" x14ac:dyDescent="0.2">
      <c r="A40" s="9" t="s">
        <v>260</v>
      </c>
      <c r="B40" s="38">
        <f>(-SUM(C26:AB26)-SUM(C27:AB27)+SUMPRODUCT(C19:AB19,C29:AB29))/SUM(C32:AB32)</f>
        <v>53.817553040601631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1"/>
  <sheetViews>
    <sheetView showGridLines="0" tabSelected="1" zoomScaleNormal="100" workbookViewId="0"/>
  </sheetViews>
  <sheetFormatPr baseColWidth="10" defaultColWidth="8.6640625" defaultRowHeight="15" x14ac:dyDescent="0.2"/>
  <cols>
    <col min="1" max="1" width="32" customWidth="1"/>
    <col min="2" max="3" width="18" customWidth="1"/>
    <col min="4" max="4" width="40" customWidth="1"/>
  </cols>
  <sheetData>
    <row r="1" spans="1:4" ht="19" x14ac:dyDescent="0.2">
      <c r="A1" s="5" t="s">
        <v>296</v>
      </c>
    </row>
    <row r="2" spans="1:4" x14ac:dyDescent="0.2">
      <c r="A2" s="6"/>
    </row>
    <row r="4" spans="1:4" x14ac:dyDescent="0.2">
      <c r="A4" s="7" t="s">
        <v>261</v>
      </c>
      <c r="B4" s="7" t="s">
        <v>262</v>
      </c>
      <c r="C4" s="7" t="s">
        <v>263</v>
      </c>
      <c r="D4" s="7" t="s">
        <v>264</v>
      </c>
    </row>
    <row r="5" spans="1:4" x14ac:dyDescent="0.2">
      <c r="A5" s="9" t="s">
        <v>257</v>
      </c>
      <c r="B5" s="40">
        <f>'Model (ex-ante)'!$B$37</f>
        <v>63.457758236512902</v>
      </c>
      <c r="C5" s="40">
        <f>'Ex-Post'!$B$37</f>
        <v>1324.1953423719281</v>
      </c>
      <c r="D5" s="12" t="s">
        <v>265</v>
      </c>
    </row>
    <row r="6" spans="1:4" x14ac:dyDescent="0.2">
      <c r="A6" s="9" t="s">
        <v>258</v>
      </c>
      <c r="B6" s="41">
        <f>'Model (ex-ante)'!$B$38</f>
        <v>4.9112779469298706E-2</v>
      </c>
      <c r="C6" s="41">
        <f>'Ex-Post'!$B$38</f>
        <v>0.14000417901597495</v>
      </c>
      <c r="D6" s="12" t="s">
        <v>266</v>
      </c>
    </row>
    <row r="7" spans="1:4" x14ac:dyDescent="0.2">
      <c r="A7" s="9" t="s">
        <v>259</v>
      </c>
      <c r="B7" s="42">
        <f>'Model (ex-ante)'!$B$39</f>
        <v>15</v>
      </c>
      <c r="C7" s="42">
        <f>'Ex-Post'!$B$39</f>
        <v>8</v>
      </c>
      <c r="D7" s="12" t="s">
        <v>267</v>
      </c>
    </row>
    <row r="8" spans="1:4" x14ac:dyDescent="0.2">
      <c r="A8" s="9" t="s">
        <v>260</v>
      </c>
      <c r="B8" s="43">
        <f>'Model (ex-ante)'!$B$40</f>
        <v>53.817553040601631</v>
      </c>
      <c r="C8" s="43">
        <f>'Ex-Post'!$B$40</f>
        <v>53.817553040601631</v>
      </c>
      <c r="D8" s="12" t="s">
        <v>268</v>
      </c>
    </row>
    <row r="10" spans="1:4" x14ac:dyDescent="0.2">
      <c r="A10" s="3" t="s">
        <v>269</v>
      </c>
    </row>
    <row r="11" spans="1:4" x14ac:dyDescent="0.2">
      <c r="A11" s="7" t="s">
        <v>261</v>
      </c>
      <c r="B11" s="7" t="s">
        <v>20</v>
      </c>
      <c r="C11" s="7"/>
      <c r="D11" s="7"/>
    </row>
    <row r="12" spans="1:4" x14ac:dyDescent="0.2">
      <c r="A12" s="9" t="s">
        <v>270</v>
      </c>
      <c r="B12" s="44">
        <f>((Assumptions!$B$14-Assumptions!$B$12)*1000000)/1000000</f>
        <v>400</v>
      </c>
      <c r="C12" s="45"/>
      <c r="D12" s="45"/>
    </row>
    <row r="13" spans="1:4" x14ac:dyDescent="0.2">
      <c r="A13" s="9" t="s">
        <v>271</v>
      </c>
      <c r="B13" s="35">
        <f>((Assumptions!$B$14-Assumptions!$B$12)*1000000)/Assumptions!$B$36*Assumptions!$B$32*((1-(1+Assumptions!$B$33)^-Assumptions!$B$36)/Assumptions!$B$33)/1000000</f>
        <v>62.500593854748722</v>
      </c>
      <c r="C13" s="45"/>
      <c r="D13" s="45"/>
    </row>
    <row r="14" spans="1:4" x14ac:dyDescent="0.2">
      <c r="A14" s="9" t="s">
        <v>272</v>
      </c>
      <c r="B14" s="35">
        <f>'Model (ex-ante)'!$B$37-B12+B13</f>
        <v>-274.04164790873835</v>
      </c>
      <c r="C14" s="45"/>
      <c r="D14" s="45"/>
    </row>
    <row r="15" spans="1:4" ht="39" x14ac:dyDescent="0.2">
      <c r="A15" s="46" t="s">
        <v>273</v>
      </c>
    </row>
    <row r="17" spans="1:4" x14ac:dyDescent="0.2">
      <c r="A17" s="3" t="s">
        <v>274</v>
      </c>
    </row>
    <row r="18" spans="1:4" x14ac:dyDescent="0.2">
      <c r="A18" s="7" t="s">
        <v>275</v>
      </c>
      <c r="B18" s="7" t="s">
        <v>39</v>
      </c>
      <c r="C18" s="7" t="s">
        <v>276</v>
      </c>
      <c r="D18" s="7" t="s">
        <v>277</v>
      </c>
    </row>
    <row r="19" spans="1:4" x14ac:dyDescent="0.2">
      <c r="A19" s="9" t="s">
        <v>278</v>
      </c>
      <c r="B19" s="10">
        <v>1491</v>
      </c>
      <c r="C19" s="11" t="s">
        <v>279</v>
      </c>
      <c r="D19" s="12" t="s">
        <v>280</v>
      </c>
    </row>
    <row r="20" spans="1:4" x14ac:dyDescent="0.2">
      <c r="A20" s="9" t="s">
        <v>281</v>
      </c>
      <c r="B20" s="10">
        <v>1891</v>
      </c>
      <c r="C20" s="11" t="s">
        <v>282</v>
      </c>
      <c r="D20" s="12" t="s">
        <v>283</v>
      </c>
    </row>
    <row r="21" spans="1:4" x14ac:dyDescent="0.2">
      <c r="A21" s="9" t="s">
        <v>284</v>
      </c>
      <c r="B21" s="10">
        <v>2750</v>
      </c>
      <c r="C21" s="11" t="s">
        <v>285</v>
      </c>
      <c r="D21" s="12" t="s">
        <v>286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 Me</vt:lpstr>
      <vt:lpstr>Assumptions</vt:lpstr>
      <vt:lpstr>Price Data</vt:lpstr>
      <vt:lpstr>Model (ex-ante)</vt:lpstr>
      <vt:lpstr>Ex-Post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Cornelissen, A.J. (Cas)</cp:lastModifiedBy>
  <cp:revision>0</cp:revision>
  <dcterms:created xsi:type="dcterms:W3CDTF">2026-07-17T15:11:02Z</dcterms:created>
  <dcterms:modified xsi:type="dcterms:W3CDTF">2026-09-04T14:58:53Z</dcterms:modified>
  <dc:language>en-US</dc:language>
</cp:coreProperties>
</file>